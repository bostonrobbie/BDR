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🔻 Funnel Analysis" sheetId="2" state="visible" r:id="rId4"/>
    <sheet name="📅 Weekly Tracker" sheetId="3" state="visible" r:id="rId5"/>
    <sheet name="🎯 Benchmarks" sheetId="4" state="visible" r:id="rId6"/>
    <sheet name="📉 Win Rate Decli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<sst xmlns="http://schemas.openxmlformats.org/spreadsheetml/2006/main" count="246" uniqueCount="202">
  <si>
    <t xml:space="preserve">ROB GORHAM  —  COLD CALL PERFORMANCE TRACKER  (Real Dial Data)</t>
  </si>
  <si>
    <t xml:space="preserve">Source: Apollo phone_calls API  |  8,700+ total dials  |  314 connected conversations  |  Oct 2025 – Feb 2026</t>
  </si>
  <si>
    <t xml:space="preserve">TOTAL DIALS</t>
  </si>
  <si>
    <t xml:space="preserve">CONVERSATIONS</t>
  </si>
  <si>
    <t xml:space="preserve">WIN RATE / CONVO</t>
  </si>
  <si>
    <t xml:space="preserve">DIALS / DAY</t>
  </si>
  <si>
    <t xml:space="preserve">8,700</t>
  </si>
  <si>
    <t xml:space="preserve">314</t>
  </si>
  <si>
    <t xml:space="preserve">11.5%</t>
  </si>
  <si>
    <t xml:space="preserve">80–100</t>
  </si>
  <si>
    <t xml:space="preserve">all-time</t>
  </si>
  <si>
    <t xml:space="preserve">connected calls logged</t>
  </si>
  <si>
    <t xml:space="preserve">36 positive outcomes</t>
  </si>
  <si>
    <t xml:space="preserve">✅ above 15-20 benchmark</t>
  </si>
  <si>
    <t xml:space="preserve">MONTHLY PERFORMANCE  —  FULL FUNNEL</t>
  </si>
  <si>
    <t xml:space="preserve">Month</t>
  </si>
  <si>
    <t xml:space="preserve">Total Dials</t>
  </si>
  <si>
    <t xml:space="preserve">Connected</t>
  </si>
  <si>
    <t xml:space="preserve">Positive</t>
  </si>
  <si>
    <t xml:space="preserve">Neutral</t>
  </si>
  <si>
    <t xml:space="preserve">Negative</t>
  </si>
  <si>
    <t xml:space="preserve">Connect Rate</t>
  </si>
  <si>
    <t xml:space="preserve">Win Rate</t>
  </si>
  <si>
    <t xml:space="preserve">Dials/Day</t>
  </si>
  <si>
    <t xml:space="preserve">Convos/Week</t>
  </si>
  <si>
    <t xml:space="preserve">Trend</t>
  </si>
  <si>
    <t xml:space="preserve">Grade</t>
  </si>
  <si>
    <t xml:space="preserve">Oct 2025</t>
  </si>
  <si>
    <t xml:space="preserve">→ Baseline</t>
  </si>
  <si>
    <t xml:space="preserve">B</t>
  </si>
  <si>
    <t xml:space="preserve">Nov 2025</t>
  </si>
  <si>
    <t xml:space="preserve">⬆ Strong</t>
  </si>
  <si>
    <t xml:space="preserve">Dec 2025</t>
  </si>
  <si>
    <t xml:space="preserve">⬇ Declining</t>
  </si>
  <si>
    <t xml:space="preserve">C</t>
  </si>
  <si>
    <t xml:space="preserve">Jan 2026</t>
  </si>
  <si>
    <t xml:space="preserve">Feb 2026</t>
  </si>
  <si>
    <t xml:space="preserve">⬇ Alarm</t>
  </si>
  <si>
    <t xml:space="preserve">F</t>
  </si>
  <si>
    <t xml:space="preserve">TOTALS</t>
  </si>
  <si>
    <t xml:space="preserve">↓ Trend</t>
  </si>
  <si>
    <t xml:space="preserve">📌 KEY CORRECTION: Previous analysis used only 103 RECORDED calls. Real data = 8,700 dials, 314 connected conversations.</t>
  </si>
  <si>
    <t xml:space="preserve">✅ VOLUME: You ARE dialing at benchmark levels (80–100/day). The calls-per-day gap was wrong — ignore it.</t>
  </si>
  <si>
    <t xml:space="preserve">🚨 WIN RATE DECLINING: Oct/Nov = 18% → Dec = 11% → Jan = 12% → Feb = 0%. Same volume, fewer wins. Messaging issue.</t>
  </si>
  <si>
    <t xml:space="preserve">⚠  CONNECT RATE DECLINING: 4.5% (Oct) → 3.0% (Jan). Your dials are reaching fewer people each month.</t>
  </si>
  <si>
    <t xml:space="preserve">🚨 FEBRUARY ALARM CONFIRMED: 61 real conversations, 0 positive outcomes. Most conversations ever, worst results ever.</t>
  </si>
  <si>
    <t xml:space="preserve">DIAL FUNNEL ANALYSIS  —  From Dials to Positive Outcomes</t>
  </si>
  <si>
    <t xml:space="preserve">Shows exactly where calls drop off each month</t>
  </si>
  <si>
    <t xml:space="preserve">→ Connected</t>
  </si>
  <si>
    <t xml:space="preserve">→ Positive</t>
  </si>
  <si>
    <t xml:space="preserve">Positive/Dial</t>
  </si>
  <si>
    <t xml:space="preserve">Positive/Convo</t>
  </si>
  <si>
    <t xml:space="preserve">→ Neutral</t>
  </si>
  <si>
    <t xml:space="preserve">→ Negative</t>
  </si>
  <si>
    <t xml:space="preserve">No Answer / VM</t>
  </si>
  <si>
    <t xml:space="preserve">WEEKLY CALL TRACKER  —  Enter your numbers each week</t>
  </si>
  <si>
    <t xml:space="preserve">  Blue cells = you fill in  |  Black = auto-calculated  |  Targets: 75 dials/day · 15 convos/week · 15%+ win rate</t>
  </si>
  <si>
    <t xml:space="preserve">Week Of</t>
  </si>
  <si>
    <t xml:space="preserve">Mon Dials</t>
  </si>
  <si>
    <t xml:space="preserve">Tue Dials</t>
  </si>
  <si>
    <t xml:space="preserve">Wed Dials</t>
  </si>
  <si>
    <t xml:space="preserve">Thu Dials</t>
  </si>
  <si>
    <t xml:space="preserve">Fri Dials</t>
  </si>
  <si>
    <t xml:space="preserve">Notes</t>
  </si>
  <si>
    <t xml:space="preserve">Mar 02, 2026</t>
  </si>
  <si>
    <t xml:space="preserve">Mar 09, 2026</t>
  </si>
  <si>
    <t xml:space="preserve">Mar 16, 2026</t>
  </si>
  <si>
    <t xml:space="preserve">Mar 23, 2026</t>
  </si>
  <si>
    <t xml:space="preserve">Mar 30, 2026</t>
  </si>
  <si>
    <t xml:space="preserve">Apr 06, 2026</t>
  </si>
  <si>
    <t xml:space="preserve">Apr 13, 2026</t>
  </si>
  <si>
    <t xml:space="preserve">Apr 20, 2026</t>
  </si>
  <si>
    <t xml:space="preserve">Apr 27, 2026</t>
  </si>
  <si>
    <t xml:space="preserve">May 04, 2026</t>
  </si>
  <si>
    <t xml:space="preserve">May 11, 2026</t>
  </si>
  <si>
    <t xml:space="preserve">May 18, 2026</t>
  </si>
  <si>
    <t xml:space="preserve">May 25, 2026</t>
  </si>
  <si>
    <t xml:space="preserve">Jun 01, 2026</t>
  </si>
  <si>
    <t xml:space="preserve">Jun 08, 2026</t>
  </si>
  <si>
    <t xml:space="preserve">Jun 15, 2026</t>
  </si>
  <si>
    <t xml:space="preserve">Jun 22, 2026</t>
  </si>
  <si>
    <t xml:space="preserve">Jun 29, 2026</t>
  </si>
  <si>
    <t xml:space="preserve">Jul 06, 2026</t>
  </si>
  <si>
    <t xml:space="preserve">Jul 13, 2026</t>
  </si>
  <si>
    <t xml:space="preserve">Jul 20, 2026</t>
  </si>
  <si>
    <t xml:space="preserve">Jul 27, 2026</t>
  </si>
  <si>
    <t xml:space="preserve">Aug 03, 2026</t>
  </si>
  <si>
    <t xml:space="preserve">Aug 10, 2026</t>
  </si>
  <si>
    <t xml:space="preserve">Aug 17, 2026</t>
  </si>
  <si>
    <t xml:space="preserve">Aug 24, 2026</t>
  </si>
  <si>
    <t xml:space="preserve">PERIOD TOTALS</t>
  </si>
  <si>
    <t xml:space="preserve">  📌 WEEKLY TARGETS:  Dials/Day ≥ 75  ·  Connected/Week ≥ 15  ·  Win Rate ≥ 15%  ·  Connect Rate ≥ 4%</t>
  </si>
  <si>
    <t xml:space="preserve">BENCHMARK COMPARISON  —  Rob vs. Industry (CORRECTED)</t>
  </si>
  <si>
    <t xml:space="preserve">  Based on real phone_calls data (8,700 dials). Previous tracker used wrong dataset (103 recorded calls only).</t>
  </si>
  <si>
    <t xml:space="preserve">Metric</t>
  </si>
  <si>
    <t xml:space="preserve">Industry Benchmark</t>
  </si>
  <si>
    <t xml:space="preserve">Your Number</t>
  </si>
  <si>
    <t xml:space="preserve">Your Best Month</t>
  </si>
  <si>
    <t xml:space="preserve">Your Worst Month</t>
  </si>
  <si>
    <t xml:space="preserve">Status</t>
  </si>
  <si>
    <t xml:space="preserve">Action Required</t>
  </si>
  <si>
    <t xml:space="preserve">Total Dials/Day</t>
  </si>
  <si>
    <t xml:space="preserve">15–20/day (SDR standard)
75–100/day (power dialer)</t>
  </si>
  <si>
    <t xml:space="preserve">~87/day avg</t>
  </si>
  <si>
    <t xml:space="preserve">101/day (Jan)</t>
  </si>
  <si>
    <t xml:space="preserve">37/day (Oct)</t>
  </si>
  <si>
    <t xml:space="preserve">✅ ABOVE</t>
  </si>
  <si>
    <t xml:space="preserve">Volume is strong — keep it up</t>
  </si>
  <si>
    <t xml:space="preserve">2–5% with power dialing
27–35% with manual calling</t>
  </si>
  <si>
    <t xml:space="preserve">3.6% avg</t>
  </si>
  <si>
    <t xml:space="preserve">4.5% (Oct)</t>
  </si>
  <si>
    <t xml:space="preserve">3.0% (Jan)</t>
  </si>
  <si>
    <t xml:space="preserve">⚠ DECLINING</t>
  </si>
  <si>
    <t xml:space="preserve">Connect rate fell from 4.5% → 3.0%. Check number quality &amp; time of day.</t>
  </si>
  <si>
    <t xml:space="preserve">Conversations/Week</t>
  </si>
  <si>
    <t xml:space="preserve">15–25 connected calls/week</t>
  </si>
  <si>
    <t xml:space="preserve">~14–20/week</t>
  </si>
  <si>
    <t xml:space="preserve">~20/wk (Dec)</t>
  </si>
  <si>
    <t xml:space="preserve">~10/wk (Oct)</t>
  </si>
  <si>
    <t xml:space="preserve">✅ ON TARGET</t>
  </si>
  <si>
    <t xml:space="preserve">You say 25/week — some likely not outcome-logged. Add notes to every call.</t>
  </si>
  <si>
    <t xml:space="preserve">Win Rate per Conversation</t>
  </si>
  <si>
    <t xml:space="preserve">10–20% (enterprise B2B)</t>
  </si>
  <si>
    <t xml:space="preserve">11.5% overall</t>
  </si>
  <si>
    <t xml:space="preserve">18% (Oct/Nov)</t>
  </si>
  <si>
    <t xml:space="preserve">0% (Feb)</t>
  </si>
  <si>
    <t xml:space="preserve">🚨 DECLINING</t>
  </si>
  <si>
    <t xml:space="preserve">Was 18%, now 0%. Biggest issue — review opener and ICP targeting.</t>
  </si>
  <si>
    <t xml:space="preserve">Positive Outcome Rate/Dial</t>
  </si>
  <si>
    <t xml:space="preserve">0.5–2% of all dials</t>
  </si>
  <si>
    <t xml:space="preserve">0.41% overall</t>
  </si>
  <si>
    <t xml:space="preserve">0.82% (Oct)</t>
  </si>
  <si>
    <t xml:space="preserve">⚠ LOW</t>
  </si>
  <si>
    <t xml:space="preserve">Below 0.5%. Fix connect rate + win rate together.</t>
  </si>
  <si>
    <t xml:space="preserve">Best Day to Call</t>
  </si>
  <si>
    <t xml:space="preserve">Tuesday, Wednesday, Thursday</t>
  </si>
  <si>
    <t xml:space="preserve">Wednesday</t>
  </si>
  <si>
    <t xml:space="preserve">Thursday</t>
  </si>
  <si>
    <t xml:space="preserve">✅ ALIGNED</t>
  </si>
  <si>
    <t xml:space="preserve">Already calling on right days — no change needed.</t>
  </si>
  <si>
    <t xml:space="preserve">Best Time to Call</t>
  </si>
  <si>
    <t xml:space="preserve">10–11am &amp; 4–5pm local</t>
  </si>
  <si>
    <t xml:space="preserve">Afternoon avg</t>
  </si>
  <si>
    <t xml:space="preserve">~3pm cluster</t>
  </si>
  <si>
    <t xml:space="preserve">Morning</t>
  </si>
  <si>
    <t xml:space="preserve">⚠ SHIFT</t>
  </si>
  <si>
    <t xml:space="preserve">Move more calls to 10–11am block. Data shows better connect rates.</t>
  </si>
  <si>
    <t xml:space="preserve">Call Logging / Notes</t>
  </si>
  <si>
    <t xml:space="preserve">100% of calls logged with outcome</t>
  </si>
  <si>
    <t xml:space="preserve">~40% logged</t>
  </si>
  <si>
    <t xml:space="preserve">—</t>
  </si>
  <si>
    <t xml:space="preserve">🚨 GAP</t>
  </si>
  <si>
    <t xml:space="preserve">314 outcomes logged out of 8,700 dials. Log EVERY connected call.</t>
  </si>
  <si>
    <t xml:space="preserve">Talk Ratio (your side)</t>
  </si>
  <si>
    <t xml:space="preserve">≤43% rep / ≥57% prospect</t>
  </si>
  <si>
    <t xml:space="preserve">~70% you (avg)</t>
  </si>
  <si>
    <t xml:space="preserve">62% (pos calls)</t>
  </si>
  <si>
    <t xml:space="preserve">78% (neg calls)</t>
  </si>
  <si>
    <t xml:space="preserve">⚠ TOO HIGH</t>
  </si>
  <si>
    <t xml:space="preserve">Let the prospect talk more. Ask questions, then be quiet.</t>
  </si>
  <si>
    <t xml:space="preserve">Monthly Active Calling Days</t>
  </si>
  <si>
    <t xml:space="preserve">20+ days/month</t>
  </si>
  <si>
    <t xml:space="preserve">~20/month</t>
  </si>
  <si>
    <t xml:space="preserve">~22 (Dec/Jan)</t>
  </si>
  <si>
    <t xml:space="preserve">~17 (Oct)</t>
  </si>
  <si>
    <t xml:space="preserve">Good consistency. Protect your calling blocks.</t>
  </si>
  <si>
    <t xml:space="preserve">Follow-Up After Calls</t>
  </si>
  <si>
    <t xml:space="preserve">Follow up 80%+ of connects</t>
  </si>
  <si>
    <t xml:space="preserve">Unknown</t>
  </si>
  <si>
    <t xml:space="preserve">📌 MEASURE</t>
  </si>
  <si>
    <t xml:space="preserve">Check Gmail — are you sending follow-ups? Track this in weekly log.</t>
  </si>
  <si>
    <t xml:space="preserve">Sources: RAIN Group Sales Research, Gong Labs State of Sales, Bridge Group SDR Benchmarks, HubSpot Sales Report, Salesforce State of Sales
Power dialer connect rates (2–5%) differ from manual dial benchmarks (27–35%). Rob uses Apollo dialer = power dialing category.</t>
  </si>
  <si>
    <t xml:space="preserve">WIN RATE DECLINE ANALYSIS  —  18% → 0%  (Oct 2025 to Feb 2026)</t>
  </si>
  <si>
    <t xml:space="preserve">  This is the most important finding. Volume held strong. Something in the conversation changed.</t>
  </si>
  <si>
    <t xml:space="preserve">vs Prior Month</t>
  </si>
  <si>
    <t xml:space="preserve">Dials This Month</t>
  </si>
  <si>
    <t xml:space="preserve">Insight</t>
  </si>
  <si>
    <t xml:space="preserve">Baseline — strong start. Permission-based opener working.</t>
  </si>
  <si>
    <t xml:space="preserve">Peak performance — 18% win rate. Best month. What were you saying?</t>
  </si>
  <si>
    <t xml:space="preserve">First decline. -7pp drop. December = holiday season? Or messaging drift?</t>
  </si>
  <si>
    <t xml:space="preserve">Slight recovery but still below Oct/Nov levels.</t>
  </si>
  <si>
    <t xml:space="preserve">Total collapse. 61 conversations, 0 wins. Critical — review every Feb call.</t>
  </si>
  <si>
    <t xml:space="preserve">HYPOTHESES FOR WIN RATE DECLINE</t>
  </si>
  <si>
    <t xml:space="preserve">Hypothesis</t>
  </si>
  <si>
    <t xml:space="preserve">Likelihood</t>
  </si>
  <si>
    <t xml:space="preserve">How to Test</t>
  </si>
  <si>
    <t xml:space="preserve">Messaging drift — opener became too pitchy over time</t>
  </si>
  <si>
    <t xml:space="preserve">HIGH 🚨</t>
  </si>
  <si>
    <t xml:space="preserve">Record Dec/Jan calls. Compare opener language to Oct/Nov positives.</t>
  </si>
  <si>
    <t xml:space="preserve">ICP drift — calling wrong titles or companies</t>
  </si>
  <si>
    <t xml:space="preserve">Pull Dec-Feb positive contacts. Are they same profile as Oct/Nov wins?</t>
  </si>
  <si>
    <t xml:space="preserve">Talk ratio creep — talking more, listening less</t>
  </si>
  <si>
    <t xml:space="preserve">Compare transcript talk ratios across months. Oct/Nov positives = 62% you.</t>
  </si>
  <si>
    <t xml:space="preserve">List quality — phone numbers going stale</t>
  </si>
  <si>
    <t xml:space="preserve">MEDIUM ⚠</t>
  </si>
  <si>
    <t xml:space="preserve">Connect rate also declining (4.5%→3%). Same numbers being recycled?</t>
  </si>
  <si>
    <t xml:space="preserve">Seasonal / budget cycle — Q1 freeze</t>
  </si>
  <si>
    <t xml:space="preserve">Feb is Q1 budget freeze month for many companies. May recover in March.</t>
  </si>
  <si>
    <t xml:space="preserve">February fatigue — calling same people multiple times</t>
  </si>
  <si>
    <t xml:space="preserve">Check for duplicate contacts in Feb call log.</t>
  </si>
  <si>
    <t xml:space="preserve">No follow-up system — warm leads going cold</t>
  </si>
  <si>
    <t xml:space="preserve">Check Gmail for follow-ups sent within 24hrs of positive/neutral calls.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</si>
</sst>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%"/>
    <numFmt numFmtId="167" formatCode="0.0"/>
    <numFmt numFmtId="168" formatCode="0"/>
    <numFmt numFmtId="169" formatCode="\+0.0%;\-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7474F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F9A825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37474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1F5C99"/>
      <name val="Arial"/>
      <family val="0"/>
      <charset val="1"/>
    </font>
    <font>
      <i val="true"/>
      <sz val="8"/>
      <color rgb="FF546E7A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1F5C99"/>
        <bgColor rgb="FF0B7285"/>
      </patternFill>
    </fill>
    <fill>
      <patternFill patternType="solid">
        <fgColor rgb="FF0B7285"/>
        <bgColor rgb="FF008080"/>
      </patternFill>
    </fill>
    <fill>
      <patternFill patternType="solid">
        <fgColor rgb="FF2E7D32"/>
        <bgColor rgb="FF008000"/>
      </patternFill>
    </fill>
    <fill>
      <patternFill patternType="solid">
        <fgColor rgb="FF37474F"/>
        <bgColor rgb="FF1B2A4A"/>
      </patternFill>
    </fill>
    <fill>
      <patternFill patternType="solid">
        <fgColor rgb="FFFFFFFF"/>
        <bgColor rgb="FFF9F9F9"/>
      </patternFill>
    </fill>
    <fill>
      <patternFill patternType="solid">
        <fgColor rgb="FFE8F5E9"/>
        <bgColor rgb="FFECEFF1"/>
      </patternFill>
    </fill>
    <fill>
      <patternFill patternType="solid">
        <fgColor rgb="FFECEFF1"/>
        <bgColor rgb="FFEBF5FB"/>
      </patternFill>
    </fill>
    <fill>
      <patternFill patternType="solid">
        <fgColor rgb="FFFFFDE7"/>
        <bgColor rgb="FFF9F9F9"/>
      </patternFill>
    </fill>
    <fill>
      <patternFill patternType="solid">
        <fgColor rgb="FFFFEBEE"/>
        <bgColor rgb="FFECEFF1"/>
      </patternFill>
    </fill>
    <fill>
      <patternFill patternType="solid">
        <fgColor rgb="FFE3F2FD"/>
        <bgColor rgb="FFEBF5FB"/>
      </patternFill>
    </fill>
    <fill>
      <patternFill patternType="solid">
        <fgColor rgb="FFEBF5FB"/>
        <bgColor rgb="FFE3F2FD"/>
      </patternFill>
    </fill>
    <fill>
      <patternFill patternType="solid">
        <fgColor rgb="FFE65100"/>
        <bgColor rgb="FFC0504D"/>
      </patternFill>
    </fill>
    <fill>
      <patternFill patternType="solid">
        <fgColor rgb="FFC62828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285"/>
      <rgbColor rgb="FFCCCCCC"/>
      <rgbColor rgb="FF878787"/>
      <rgbColor rgb="FF9999FF"/>
      <rgbColor rgb="FFC0504D"/>
      <rgbColor rgb="FFFFFDE7"/>
      <rgbColor rgb="FFE3F2FD"/>
      <rgbColor rgb="FF660066"/>
      <rgbColor rgb="FFFF8080"/>
      <rgbColor rgb="FF1F5C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5FB"/>
      <rgbColor rgb="FFFFEBEE"/>
      <rgbColor rgb="FFF9F9F9"/>
      <rgbColor rgb="FFFF99CC"/>
      <rgbColor rgb="FFCC99FF"/>
      <rgbColor rgb="FFECEFF1"/>
      <rgbColor rgb="FF4A7EBB"/>
      <rgbColor rgb="FF33CCCC"/>
      <rgbColor rgb="FF9BBB59"/>
      <rgbColor rgb="FFFFCC00"/>
      <rgbColor rgb="FFF9A825"/>
      <rgbColor rgb="FFE65100"/>
      <rgbColor rgb="FF546E7A"/>
      <rgbColor rgb="FF4F81BD"/>
      <rgbColor rgb="FF003366"/>
      <rgbColor rgb="FF2E7D32"/>
      <rgbColor rgb="FF003300"/>
      <rgbColor rgb="FF333300"/>
      <rgbColor rgb="FFC62828"/>
      <rgbColor rgb="FF993366"/>
      <rgbColor rgb="FF37474F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Funnel: Dials vs Connected vs Positive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'🔻 Funnel Analysis'!B5</c:f>
              <c:strCache>
                <c:ptCount val="1"/>
                <c:pt idx="0">
                  <c:v>Total Dials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'🔻 Funnel Analysis'!$A$6:$A$10</c:f>
              <c:strCache>
                <c:ptCount val="5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  <c:pt idx="3">
                  <c:v>Jan 2026</c:v>
                </c:pt>
                <c:pt idx="4">
                  <c:v>Feb 2026</c:v>
                </c:pt>
              </c:strCache>
            </c:strRef>
          </c:cat>
          <c:val>
            <c:numRef>
              <c:f>'🔻 Funnel Analysis'!$B$6:$B$10</c:f>
              <c:numCache>
                <c:formatCode>General</c:formatCode>
                <c:ptCount val="5"/>
                <c:pt idx="0">
                  <c:v>853</c:v>
                </c:pt>
                <c:pt idx="1">
                  <c:v>1727</c:v>
                </c:pt>
                <c:pt idx="2">
                  <c:v>2174</c:v>
                </c:pt>
                <c:pt idx="3">
                  <c:v>2224</c:v>
                </c:pt>
                <c:pt idx="4">
                  <c:v>1689</c:v>
                </c:pt>
              </c:numCache>
            </c:numRef>
          </c:val>
        </c:ser>
        <c:ser>
          <c:idx val="1"/>
          <c:order val="1"/>
          <c:tx>
            <c:strRef>
              <c:f>'🔻 Funnel Analysis'!C5</c:f>
              <c:strCache>
                <c:ptCount val="1"/>
                <c:pt idx="0">
                  <c:v>→ Connected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'🔻 Funnel Analysis'!$A$6:$A$10</c:f>
              <c:strCache>
                <c:ptCount val="5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  <c:pt idx="3">
                  <c:v>Jan 2026</c:v>
                </c:pt>
                <c:pt idx="4">
                  <c:v>Feb 2026</c:v>
                </c:pt>
              </c:strCache>
            </c:strRef>
          </c:cat>
          <c:val>
            <c:numRef>
              <c:f>'🔻 Funnel Analysis'!$C$6:$C$10</c:f>
              <c:numCache>
                <c:formatCode>General</c:formatCode>
                <c:ptCount val="5"/>
                <c:pt idx="0">
                  <c:v>38</c:v>
                </c:pt>
                <c:pt idx="1">
                  <c:v>67</c:v>
                </c:pt>
                <c:pt idx="2">
                  <c:v>81</c:v>
                </c:pt>
                <c:pt idx="3">
                  <c:v>67</c:v>
                </c:pt>
                <c:pt idx="4">
                  <c:v>61</c:v>
                </c:pt>
              </c:numCache>
            </c:numRef>
          </c:val>
        </c:ser>
        <c:ser>
          <c:idx val="2"/>
          <c:order val="2"/>
          <c:tx>
            <c:strRef>
              <c:f>'🔻 Funnel Analysis'!E5</c:f>
              <c:strCache>
                <c:ptCount val="1"/>
                <c:pt idx="0">
                  <c:v>→ Positive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'🔻 Funnel Analysis'!$A$6:$A$10</c:f>
              <c:strCache>
                <c:ptCount val="5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  <c:pt idx="3">
                  <c:v>Jan 2026</c:v>
                </c:pt>
                <c:pt idx="4">
                  <c:v>Feb 2026</c:v>
                </c:pt>
              </c:strCache>
            </c:strRef>
          </c:cat>
          <c:val>
            <c:numRef>
              <c:f>'🔻 Funnel Analysis'!$E$6:$E$10</c:f>
              <c:numCache>
                <c:formatCode>General</c:formatCode>
                <c:ptCount val="5"/>
                <c:pt idx="0">
                  <c:v>7</c:v>
                </c:pt>
                <c:pt idx="1">
                  <c:v>12</c:v>
                </c:pt>
                <c:pt idx="2">
                  <c:v>9</c:v>
                </c:pt>
                <c:pt idx="3">
                  <c:v>8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80413763"/>
        <c:axId val="99325795"/>
      </c:barChart>
      <c:catAx>
        <c:axId val="804137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325795"/>
        <c:crosses val="autoZero"/>
        <c:auto val="1"/>
        <c:lblAlgn val="ctr"/>
        <c:lblOffset val="100"/>
        <c:noMultiLvlLbl val="0"/>
      </c:catAx>
      <c:valAx>
        <c:axId val="993257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Calls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4137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Win Rate per Conversation (Monthly)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'🔻 Funnel Analysis'!G5</c:f>
              <c:strCache>
                <c:ptCount val="1"/>
                <c:pt idx="0">
                  <c:v>Positive/Convo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'🔻 Funnel Analysis'!$A$6:$A$10</c:f>
              <c:strCache>
                <c:ptCount val="5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  <c:pt idx="3">
                  <c:v>Jan 2026</c:v>
                </c:pt>
                <c:pt idx="4">
                  <c:v>Feb 2026</c:v>
                </c:pt>
              </c:strCache>
            </c:strRef>
          </c:cat>
          <c:val>
            <c:numRef>
              <c:f>'🔻 Funnel Analysis'!$G$6:$G$10</c:f>
              <c:numCache>
                <c:formatCode>0.00%</c:formatCode>
                <c:ptCount val="5"/>
                <c:pt idx="0">
                  <c:v>0.18421052631579</c:v>
                </c:pt>
                <c:pt idx="1">
                  <c:v>0.17910447761194</c:v>
                </c:pt>
                <c:pt idx="2">
                  <c:v>0.111111111111111</c:v>
                </c:pt>
                <c:pt idx="3">
                  <c:v>0.119402985074627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234554"/>
        <c:axId val="66600087"/>
      </c:lineChart>
      <c:catAx>
        <c:axId val="202345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600087"/>
        <c:crosses val="autoZero"/>
        <c:auto val="1"/>
        <c:lblAlgn val="ctr"/>
        <c:lblOffset val="100"/>
        <c:noMultiLvlLbl val="0"/>
      </c:catAx>
      <c:valAx>
        <c:axId val="66600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Win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2345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10</xdr:col>
      <xdr:colOff>110880</xdr:colOff>
      <xdr:row>39</xdr:row>
      <xdr:rowOff>86760</xdr:rowOff>
    </xdr:to>
    <xdr:graphicFrame>
      <xdr:nvGraphicFramePr>
        <xdr:cNvPr id="0" name="Chart 1"/>
        <xdr:cNvGraphicFramePr/>
      </xdr:nvGraphicFramePr>
      <xdr:xfrm>
        <a:off x="0" y="244800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13</xdr:row>
      <xdr:rowOff>0</xdr:rowOff>
    </xdr:from>
    <xdr:to>
      <xdr:col>17</xdr:col>
      <xdr:colOff>343800</xdr:colOff>
      <xdr:row>39</xdr:row>
      <xdr:rowOff>86760</xdr:rowOff>
    </xdr:to>
    <xdr:graphicFrame>
      <xdr:nvGraphicFramePr>
        <xdr:cNvPr id="1" name="Chart 2"/>
        <xdr:cNvGraphicFramePr/>
      </xdr:nvGraphicFramePr>
      <xdr:xfrm>
        <a:off x="6837120" y="244800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7.5" hidden="false" customHeight="true" outlineLevel="0" collapsed="false"/>
    <row r="5" customFormat="false" ht="18" hidden="false" customHeight="true" outlineLevel="0" collapsed="false">
      <c r="A5" s="3" t="s">
        <v>2</v>
      </c>
      <c r="B5" s="3"/>
      <c r="C5" s="3"/>
      <c r="D5" s="4" t="s">
        <v>3</v>
      </c>
      <c r="E5" s="4"/>
      <c r="F5" s="4"/>
      <c r="G5" s="5" t="s">
        <v>4</v>
      </c>
      <c r="H5" s="5"/>
      <c r="I5" s="5"/>
      <c r="J5" s="6" t="s">
        <v>5</v>
      </c>
      <c r="K5" s="6"/>
      <c r="L5" s="6"/>
      <c r="M5" s="6"/>
    </row>
    <row r="6" customFormat="false" ht="27.75" hidden="false" customHeight="true" outlineLevel="0" collapsed="false">
      <c r="A6" s="7" t="s">
        <v>6</v>
      </c>
      <c r="B6" s="7"/>
      <c r="C6" s="7"/>
      <c r="D6" s="8" t="s">
        <v>7</v>
      </c>
      <c r="E6" s="8"/>
      <c r="F6" s="8"/>
      <c r="G6" s="9" t="s">
        <v>8</v>
      </c>
      <c r="H6" s="9"/>
      <c r="I6" s="9"/>
      <c r="J6" s="10" t="s">
        <v>9</v>
      </c>
      <c r="K6" s="10"/>
      <c r="L6" s="10"/>
      <c r="M6" s="10"/>
    </row>
    <row r="7" customFormat="false" ht="15.75" hidden="false" customHeight="true" outlineLevel="0" collapsed="false">
      <c r="A7" s="11" t="s">
        <v>10</v>
      </c>
      <c r="B7" s="11"/>
      <c r="C7" s="11"/>
      <c r="D7" s="12" t="s">
        <v>11</v>
      </c>
      <c r="E7" s="12"/>
      <c r="F7" s="12"/>
      <c r="G7" s="13" t="s">
        <v>12</v>
      </c>
      <c r="H7" s="13"/>
      <c r="I7" s="13"/>
      <c r="J7" s="14" t="s">
        <v>13</v>
      </c>
      <c r="K7" s="14"/>
      <c r="L7" s="14"/>
      <c r="M7" s="14"/>
    </row>
    <row r="8" customFormat="false" ht="9.75" hidden="false" customHeight="true" outlineLevel="0" collapsed="false"/>
    <row r="9" customFormat="false" ht="19.5" hidden="false" customHeight="true" outlineLevel="0" collapsed="false">
      <c r="A9" s="15" t="s">
        <v>14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customFormat="false" ht="15" hidden="false" customHeight="false" outlineLevel="0" collapsed="false">
      <c r="A10" s="16" t="s">
        <v>15</v>
      </c>
      <c r="B10" s="16" t="s">
        <v>16</v>
      </c>
      <c r="C10" s="16" t="s">
        <v>17</v>
      </c>
      <c r="D10" s="16" t="s">
        <v>18</v>
      </c>
      <c r="E10" s="16" t="s">
        <v>19</v>
      </c>
      <c r="F10" s="16" t="s">
        <v>20</v>
      </c>
      <c r="G10" s="16" t="s">
        <v>21</v>
      </c>
      <c r="H10" s="16" t="s">
        <v>22</v>
      </c>
      <c r="I10" s="16" t="s">
        <v>23</v>
      </c>
      <c r="J10" s="16" t="s">
        <v>24</v>
      </c>
      <c r="K10" s="16" t="s">
        <v>25</v>
      </c>
      <c r="L10" s="16" t="s">
        <v>26</v>
      </c>
    </row>
    <row r="11" customFormat="false" ht="15" hidden="false" customHeight="false" outlineLevel="0" collapsed="false">
      <c r="A11" s="17" t="s">
        <v>27</v>
      </c>
      <c r="B11" s="17" t="n">
        <v>853</v>
      </c>
      <c r="C11" s="17" t="n">
        <v>38</v>
      </c>
      <c r="D11" s="17" t="n">
        <v>7</v>
      </c>
      <c r="E11" s="17" t="n">
        <v>14</v>
      </c>
      <c r="F11" s="17" t="n">
        <v>17</v>
      </c>
      <c r="G11" s="18" t="n">
        <v>0.0445486518171161</v>
      </c>
      <c r="H11" s="19" t="n">
        <v>0.18421052631579</v>
      </c>
      <c r="I11" s="20" t="n">
        <v>37.1</v>
      </c>
      <c r="J11" s="20" t="n">
        <v>8.3</v>
      </c>
      <c r="K11" s="17" t="s">
        <v>28</v>
      </c>
      <c r="L11" s="21" t="s">
        <v>29</v>
      </c>
    </row>
    <row r="12" customFormat="false" ht="15" hidden="false" customHeight="false" outlineLevel="0" collapsed="false">
      <c r="A12" s="22" t="s">
        <v>30</v>
      </c>
      <c r="B12" s="22" t="n">
        <v>1727</v>
      </c>
      <c r="C12" s="22" t="n">
        <v>67</v>
      </c>
      <c r="D12" s="22" t="n">
        <v>12</v>
      </c>
      <c r="E12" s="22" t="n">
        <v>17</v>
      </c>
      <c r="F12" s="22" t="n">
        <v>38</v>
      </c>
      <c r="G12" s="23" t="n">
        <v>0.0387955993051534</v>
      </c>
      <c r="H12" s="19" t="n">
        <v>0.17910447761194</v>
      </c>
      <c r="I12" s="24" t="n">
        <v>86.3</v>
      </c>
      <c r="J12" s="24" t="n">
        <v>16.8</v>
      </c>
      <c r="K12" s="22" t="s">
        <v>31</v>
      </c>
      <c r="L12" s="21" t="s">
        <v>29</v>
      </c>
    </row>
    <row r="13" customFormat="false" ht="15" hidden="false" customHeight="false" outlineLevel="0" collapsed="false">
      <c r="A13" s="17" t="s">
        <v>32</v>
      </c>
      <c r="B13" s="17" t="n">
        <v>2174</v>
      </c>
      <c r="C13" s="17" t="n">
        <v>81</v>
      </c>
      <c r="D13" s="17" t="n">
        <v>9</v>
      </c>
      <c r="E13" s="17" t="n">
        <v>10</v>
      </c>
      <c r="F13" s="17" t="n">
        <v>62</v>
      </c>
      <c r="G13" s="18" t="n">
        <v>0.0372585096596136</v>
      </c>
      <c r="H13" s="25" t="n">
        <v>0.111111111111111</v>
      </c>
      <c r="I13" s="20" t="n">
        <v>98.8</v>
      </c>
      <c r="J13" s="20" t="n">
        <v>18.4</v>
      </c>
      <c r="K13" s="17" t="s">
        <v>33</v>
      </c>
      <c r="L13" s="26" t="s">
        <v>34</v>
      </c>
    </row>
    <row r="14" customFormat="false" ht="15" hidden="false" customHeight="false" outlineLevel="0" collapsed="false">
      <c r="A14" s="22" t="s">
        <v>35</v>
      </c>
      <c r="B14" s="22" t="n">
        <v>2224</v>
      </c>
      <c r="C14" s="22" t="n">
        <v>67</v>
      </c>
      <c r="D14" s="22" t="n">
        <v>8</v>
      </c>
      <c r="E14" s="22" t="n">
        <v>2</v>
      </c>
      <c r="F14" s="22" t="n">
        <v>57</v>
      </c>
      <c r="G14" s="23" t="n">
        <v>0.0301258992805755</v>
      </c>
      <c r="H14" s="27" t="n">
        <v>0.119402985074627</v>
      </c>
      <c r="I14" s="24" t="n">
        <v>101.1</v>
      </c>
      <c r="J14" s="24" t="n">
        <v>15.2</v>
      </c>
      <c r="K14" s="22" t="s">
        <v>33</v>
      </c>
      <c r="L14" s="26" t="s">
        <v>34</v>
      </c>
    </row>
    <row r="15" customFormat="false" ht="15" hidden="false" customHeight="false" outlineLevel="0" collapsed="false">
      <c r="A15" s="17" t="s">
        <v>36</v>
      </c>
      <c r="B15" s="17" t="n">
        <v>1689</v>
      </c>
      <c r="C15" s="17" t="n">
        <v>61</v>
      </c>
      <c r="D15" s="17" t="n">
        <v>0</v>
      </c>
      <c r="E15" s="17" t="n">
        <v>5</v>
      </c>
      <c r="F15" s="17" t="n">
        <v>56</v>
      </c>
      <c r="G15" s="18" t="n">
        <v>0.0361160449970397</v>
      </c>
      <c r="H15" s="28" t="n">
        <v>0</v>
      </c>
      <c r="I15" s="20" t="n">
        <v>84.5</v>
      </c>
      <c r="J15" s="20" t="n">
        <v>15.2</v>
      </c>
      <c r="K15" s="17" t="s">
        <v>37</v>
      </c>
      <c r="L15" s="29" t="s">
        <v>38</v>
      </c>
    </row>
    <row r="16" customFormat="false" ht="18" hidden="false" customHeight="true" outlineLevel="0" collapsed="false">
      <c r="A16" s="30" t="s">
        <v>39</v>
      </c>
      <c r="B16" s="30" t="n">
        <v>8667</v>
      </c>
      <c r="C16" s="30" t="n">
        <v>314</v>
      </c>
      <c r="D16" s="30" t="n">
        <v>36</v>
      </c>
      <c r="E16" s="30" t="n">
        <v>48</v>
      </c>
      <c r="F16" s="30" t="n">
        <v>230</v>
      </c>
      <c r="G16" s="31" t="n">
        <v>0.0362293757932387</v>
      </c>
      <c r="H16" s="32" t="n">
        <v>0.114649681528662</v>
      </c>
      <c r="I16" s="33" t="n">
        <v>81</v>
      </c>
      <c r="J16" s="33" t="n">
        <v>14.3</v>
      </c>
      <c r="K16" s="30" t="s">
        <v>40</v>
      </c>
      <c r="L16" s="30" t="s">
        <v>34</v>
      </c>
    </row>
    <row r="18" customFormat="false" ht="9.75" hidden="false" customHeight="true" outlineLevel="0" collapsed="false"/>
    <row r="19" customFormat="false" ht="18" hidden="false" customHeight="true" outlineLevel="0" collapsed="false">
      <c r="A19" s="34" t="s">
        <v>41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customFormat="false" ht="18" hidden="false" customHeight="true" outlineLevel="0" collapsed="false">
      <c r="A20" s="35" t="s">
        <v>42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customFormat="false" ht="18" hidden="false" customHeight="true" outlineLevel="0" collapsed="false">
      <c r="A21" s="36" t="s">
        <v>43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customFormat="false" ht="18" hidden="false" customHeight="true" outlineLevel="0" collapsed="false">
      <c r="A22" s="34" t="s">
        <v>44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 customFormat="false" ht="18" hidden="false" customHeight="true" outlineLevel="0" collapsed="false">
      <c r="A23" s="36" t="s">
        <v>45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</sheetData>
  <mergeCells count="20">
    <mergeCell ref="A1:M2"/>
    <mergeCell ref="A3:M3"/>
    <mergeCell ref="A5:C5"/>
    <mergeCell ref="D5:F5"/>
    <mergeCell ref="G5:I5"/>
    <mergeCell ref="J5:M5"/>
    <mergeCell ref="A6:C6"/>
    <mergeCell ref="D6:F6"/>
    <mergeCell ref="G6:I6"/>
    <mergeCell ref="J6:M6"/>
    <mergeCell ref="A7:C7"/>
    <mergeCell ref="D7:F7"/>
    <mergeCell ref="G7:I7"/>
    <mergeCell ref="J7:M7"/>
    <mergeCell ref="A9:M9"/>
    <mergeCell ref="A19:M19"/>
    <mergeCell ref="A20:M20"/>
    <mergeCell ref="A21:M21"/>
    <mergeCell ref="A22:M22"/>
    <mergeCell ref="A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9.5" hidden="false" customHeight="true" outlineLevel="0" collapsed="false">
      <c r="A1" s="37" t="s">
        <v>46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customFormat="false" ht="15" hidden="false" customHeight="false" outlineLevel="0" collapsed="false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15.75" hidden="false" customHeight="true" outlineLevel="0" collapsed="false">
      <c r="A3" s="38" t="s">
        <v>47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customFormat="false" ht="7.5" hidden="false" customHeight="true" outlineLevel="0" collapsed="false"/>
    <row r="5" customFormat="false" ht="15" hidden="false" customHeight="false" outlineLevel="0" collapsed="false">
      <c r="A5" s="16" t="s">
        <v>15</v>
      </c>
      <c r="B5" s="16" t="s">
        <v>16</v>
      </c>
      <c r="C5" s="16" t="s">
        <v>48</v>
      </c>
      <c r="D5" s="16" t="s">
        <v>21</v>
      </c>
      <c r="E5" s="16" t="s">
        <v>49</v>
      </c>
      <c r="F5" s="16" t="s">
        <v>50</v>
      </c>
      <c r="G5" s="16" t="s">
        <v>51</v>
      </c>
      <c r="H5" s="16" t="s">
        <v>52</v>
      </c>
      <c r="I5" s="16" t="s">
        <v>53</v>
      </c>
      <c r="J5" s="16" t="s">
        <v>54</v>
      </c>
      <c r="K5" s="16" t="s">
        <v>23</v>
      </c>
    </row>
    <row r="6" customFormat="false" ht="15" hidden="false" customHeight="false" outlineLevel="0" collapsed="false">
      <c r="A6" s="22" t="s">
        <v>27</v>
      </c>
      <c r="B6" s="22" t="n">
        <v>853</v>
      </c>
      <c r="C6" s="22" t="n">
        <v>38</v>
      </c>
      <c r="D6" s="23" t="n">
        <v>0.0445486518171161</v>
      </c>
      <c r="E6" s="22" t="n">
        <v>7</v>
      </c>
      <c r="F6" s="23" t="n">
        <v>0.0082063305978898</v>
      </c>
      <c r="G6" s="39" t="n">
        <v>0.18421052631579</v>
      </c>
      <c r="H6" s="22" t="n">
        <v>14</v>
      </c>
      <c r="I6" s="22" t="n">
        <v>17</v>
      </c>
      <c r="J6" s="22" t="n">
        <v>815</v>
      </c>
      <c r="K6" s="24" t="n">
        <v>37.1</v>
      </c>
    </row>
    <row r="7" customFormat="false" ht="15" hidden="false" customHeight="false" outlineLevel="0" collapsed="false">
      <c r="A7" s="17" t="s">
        <v>30</v>
      </c>
      <c r="B7" s="17" t="n">
        <v>1727</v>
      </c>
      <c r="C7" s="17" t="n">
        <v>67</v>
      </c>
      <c r="D7" s="18" t="n">
        <v>0.0387955993051534</v>
      </c>
      <c r="E7" s="17" t="n">
        <v>12</v>
      </c>
      <c r="F7" s="18" t="n">
        <v>0.00694846554719166</v>
      </c>
      <c r="G7" s="39" t="n">
        <v>0.17910447761194</v>
      </c>
      <c r="H7" s="17" t="n">
        <v>17</v>
      </c>
      <c r="I7" s="17" t="n">
        <v>38</v>
      </c>
      <c r="J7" s="17" t="n">
        <v>1660</v>
      </c>
      <c r="K7" s="20" t="n">
        <v>86.3</v>
      </c>
    </row>
    <row r="8" customFormat="false" ht="15" hidden="false" customHeight="false" outlineLevel="0" collapsed="false">
      <c r="A8" s="22" t="s">
        <v>32</v>
      </c>
      <c r="B8" s="22" t="n">
        <v>2174</v>
      </c>
      <c r="C8" s="22" t="n">
        <v>81</v>
      </c>
      <c r="D8" s="23" t="n">
        <v>0.0372585096596136</v>
      </c>
      <c r="E8" s="22" t="n">
        <v>9</v>
      </c>
      <c r="F8" s="23" t="n">
        <v>0.00413983440662374</v>
      </c>
      <c r="G8" s="23" t="n">
        <v>0.111111111111111</v>
      </c>
      <c r="H8" s="22" t="n">
        <v>10</v>
      </c>
      <c r="I8" s="22" t="n">
        <v>62</v>
      </c>
      <c r="J8" s="22" t="n">
        <v>2093</v>
      </c>
      <c r="K8" s="24" t="n">
        <v>98.8</v>
      </c>
    </row>
    <row r="9" customFormat="false" ht="15" hidden="false" customHeight="false" outlineLevel="0" collapsed="false">
      <c r="A9" s="17" t="s">
        <v>35</v>
      </c>
      <c r="B9" s="17" t="n">
        <v>2224</v>
      </c>
      <c r="C9" s="17" t="n">
        <v>67</v>
      </c>
      <c r="D9" s="40" t="n">
        <v>0.0301258992805755</v>
      </c>
      <c r="E9" s="17" t="n">
        <v>8</v>
      </c>
      <c r="F9" s="18" t="n">
        <v>0.00359712230215827</v>
      </c>
      <c r="G9" s="18" t="n">
        <v>0.119402985074627</v>
      </c>
      <c r="H9" s="17" t="n">
        <v>2</v>
      </c>
      <c r="I9" s="17" t="n">
        <v>57</v>
      </c>
      <c r="J9" s="17" t="n">
        <v>2157</v>
      </c>
      <c r="K9" s="20" t="n">
        <v>101.1</v>
      </c>
    </row>
    <row r="10" customFormat="false" ht="15" hidden="false" customHeight="false" outlineLevel="0" collapsed="false">
      <c r="A10" s="22" t="s">
        <v>36</v>
      </c>
      <c r="B10" s="22" t="n">
        <v>1689</v>
      </c>
      <c r="C10" s="22" t="n">
        <v>61</v>
      </c>
      <c r="D10" s="23" t="n">
        <v>0.0361160449970397</v>
      </c>
      <c r="E10" s="22" t="n">
        <v>0</v>
      </c>
      <c r="F10" s="23" t="n">
        <v>0</v>
      </c>
      <c r="G10" s="40" t="n">
        <v>0</v>
      </c>
      <c r="H10" s="22" t="n">
        <v>5</v>
      </c>
      <c r="I10" s="22" t="n">
        <v>56</v>
      </c>
      <c r="J10" s="22" t="n">
        <v>1628</v>
      </c>
      <c r="K10" s="24" t="n">
        <v>84.5</v>
      </c>
    </row>
  </sheetData>
  <mergeCells count="2">
    <mergeCell ref="A1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0"/>
    <col collapsed="false" customWidth="true" hidden="false" outlineLevel="0" max="8" min="7" style="0" width="11"/>
    <col collapsed="false" customWidth="true" hidden="false" outlineLevel="0" max="11" min="9" style="0" width="10"/>
    <col collapsed="false" customWidth="true" hidden="false" outlineLevel="0" max="12" min="12" style="0" width="13"/>
    <col collapsed="false" customWidth="true" hidden="false" outlineLevel="0" max="14" min="13" style="0" width="11"/>
    <col collapsed="false" customWidth="true" hidden="false" outlineLevel="0" max="15" min="15" style="0" width="28"/>
  </cols>
  <sheetData>
    <row r="1" customFormat="false" ht="19.5" hidden="false" customHeight="true" outlineLevel="0" collapsed="false">
      <c r="A1" s="37" t="s">
        <v>55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customFormat="false" ht="15" hidden="false" customHeight="false" outlineLevel="0" collapsed="false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customFormat="false" ht="15.75" hidden="false" customHeight="true" outlineLevel="0" collapsed="false">
      <c r="A3" s="41" t="s">
        <v>56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customFormat="false" ht="6" hidden="false" customHeight="true" outlineLevel="0" collapsed="false"/>
    <row r="5" customFormat="false" ht="15" hidden="false" customHeight="false" outlineLevel="0" collapsed="false">
      <c r="A5" s="16" t="s">
        <v>57</v>
      </c>
      <c r="B5" s="16" t="s">
        <v>58</v>
      </c>
      <c r="C5" s="16" t="s">
        <v>59</v>
      </c>
      <c r="D5" s="16" t="s">
        <v>60</v>
      </c>
      <c r="E5" s="16" t="s">
        <v>61</v>
      </c>
      <c r="F5" s="16" t="s">
        <v>62</v>
      </c>
      <c r="G5" s="16" t="s">
        <v>16</v>
      </c>
      <c r="H5" s="16" t="s">
        <v>17</v>
      </c>
      <c r="I5" s="16" t="s">
        <v>18</v>
      </c>
      <c r="J5" s="16" t="s">
        <v>19</v>
      </c>
      <c r="K5" s="16" t="s">
        <v>20</v>
      </c>
      <c r="L5" s="16" t="s">
        <v>21</v>
      </c>
      <c r="M5" s="16" t="s">
        <v>22</v>
      </c>
      <c r="N5" s="16" t="s">
        <v>23</v>
      </c>
      <c r="O5" s="16" t="s">
        <v>63</v>
      </c>
    </row>
    <row r="6" customFormat="false" ht="15" hidden="false" customHeight="false" outlineLevel="0" collapsed="false">
      <c r="A6" s="22" t="s">
        <v>64</v>
      </c>
      <c r="B6" s="42" t="n">
        <v>0</v>
      </c>
      <c r="C6" s="42" t="n">
        <v>0</v>
      </c>
      <c r="D6" s="42" t="n">
        <v>0</v>
      </c>
      <c r="E6" s="42" t="n">
        <v>0</v>
      </c>
      <c r="F6" s="42" t="n">
        <v>0</v>
      </c>
      <c r="G6" s="43" t="n">
        <f aca="false">SUM(B6:F6)</f>
        <v>0</v>
      </c>
      <c r="H6" s="44" t="n">
        <v>0</v>
      </c>
      <c r="I6" s="44" t="n">
        <v>0</v>
      </c>
      <c r="J6" s="44" t="n">
        <v>0</v>
      </c>
      <c r="K6" s="44" t="n">
        <v>0</v>
      </c>
      <c r="L6" s="45" t="n">
        <f aca="false">IF(G6=0,0,H6/G6)</f>
        <v>0</v>
      </c>
      <c r="M6" s="46" t="n">
        <f aca="false">IF(H6=0,0,I6/H6)</f>
        <v>0</v>
      </c>
      <c r="N6" s="47" t="n">
        <f aca="false">IF(G6=0,0,G6/5)</f>
        <v>0</v>
      </c>
      <c r="O6" s="22"/>
    </row>
    <row r="7" customFormat="false" ht="15" hidden="false" customHeight="false" outlineLevel="0" collapsed="false">
      <c r="A7" s="17" t="s">
        <v>65</v>
      </c>
      <c r="B7" s="42" t="n">
        <v>0</v>
      </c>
      <c r="C7" s="42" t="n">
        <v>0</v>
      </c>
      <c r="D7" s="42" t="n">
        <v>0</v>
      </c>
      <c r="E7" s="42" t="n">
        <v>0</v>
      </c>
      <c r="F7" s="42" t="n">
        <v>0</v>
      </c>
      <c r="G7" s="48" t="n">
        <f aca="false">SUM(B7:F7)</f>
        <v>0</v>
      </c>
      <c r="H7" s="44" t="n">
        <v>0</v>
      </c>
      <c r="I7" s="44" t="n">
        <v>0</v>
      </c>
      <c r="J7" s="44" t="n">
        <v>0</v>
      </c>
      <c r="K7" s="44" t="n">
        <v>0</v>
      </c>
      <c r="L7" s="49" t="n">
        <f aca="false">IF(G7=0,0,H7/G7)</f>
        <v>0</v>
      </c>
      <c r="M7" s="50" t="n">
        <f aca="false">IF(H7=0,0,I7/H7)</f>
        <v>0</v>
      </c>
      <c r="N7" s="51" t="n">
        <f aca="false">IF(G7=0,0,G7/5)</f>
        <v>0</v>
      </c>
      <c r="O7" s="17"/>
    </row>
    <row r="8" customFormat="false" ht="15" hidden="false" customHeight="false" outlineLevel="0" collapsed="false">
      <c r="A8" s="22" t="s">
        <v>66</v>
      </c>
      <c r="B8" s="42" t="n">
        <v>0</v>
      </c>
      <c r="C8" s="42" t="n">
        <v>0</v>
      </c>
      <c r="D8" s="42" t="n">
        <v>0</v>
      </c>
      <c r="E8" s="42" t="n">
        <v>0</v>
      </c>
      <c r="F8" s="42" t="n">
        <v>0</v>
      </c>
      <c r="G8" s="43" t="n">
        <f aca="false">SUM(B8:F8)</f>
        <v>0</v>
      </c>
      <c r="H8" s="44" t="n">
        <v>0</v>
      </c>
      <c r="I8" s="44" t="n">
        <v>0</v>
      </c>
      <c r="J8" s="44" t="n">
        <v>0</v>
      </c>
      <c r="K8" s="44" t="n">
        <v>0</v>
      </c>
      <c r="L8" s="45" t="n">
        <f aca="false">IF(G8=0,0,H8/G8)</f>
        <v>0</v>
      </c>
      <c r="M8" s="46" t="n">
        <f aca="false">IF(H8=0,0,I8/H8)</f>
        <v>0</v>
      </c>
      <c r="N8" s="47" t="n">
        <f aca="false">IF(G8=0,0,G8/5)</f>
        <v>0</v>
      </c>
      <c r="O8" s="22"/>
    </row>
    <row r="9" customFormat="false" ht="15" hidden="false" customHeight="false" outlineLevel="0" collapsed="false">
      <c r="A9" s="17" t="s">
        <v>67</v>
      </c>
      <c r="B9" s="42" t="n">
        <v>0</v>
      </c>
      <c r="C9" s="42" t="n">
        <v>0</v>
      </c>
      <c r="D9" s="42" t="n">
        <v>0</v>
      </c>
      <c r="E9" s="42" t="n">
        <v>0</v>
      </c>
      <c r="F9" s="42" t="n">
        <v>0</v>
      </c>
      <c r="G9" s="48" t="n">
        <f aca="false">SUM(B9:F9)</f>
        <v>0</v>
      </c>
      <c r="H9" s="44" t="n">
        <v>0</v>
      </c>
      <c r="I9" s="44" t="n">
        <v>0</v>
      </c>
      <c r="J9" s="44" t="n">
        <v>0</v>
      </c>
      <c r="K9" s="44" t="n">
        <v>0</v>
      </c>
      <c r="L9" s="49" t="n">
        <f aca="false">IF(G9=0,0,H9/G9)</f>
        <v>0</v>
      </c>
      <c r="M9" s="50" t="n">
        <f aca="false">IF(H9=0,0,I9/H9)</f>
        <v>0</v>
      </c>
      <c r="N9" s="51" t="n">
        <f aca="false">IF(G9=0,0,G9/5)</f>
        <v>0</v>
      </c>
      <c r="O9" s="17"/>
    </row>
    <row r="10" customFormat="false" ht="15" hidden="false" customHeight="false" outlineLevel="0" collapsed="false">
      <c r="A10" s="22" t="s">
        <v>68</v>
      </c>
      <c r="B10" s="42" t="n">
        <v>0</v>
      </c>
      <c r="C10" s="42" t="n">
        <v>0</v>
      </c>
      <c r="D10" s="42" t="n">
        <v>0</v>
      </c>
      <c r="E10" s="42" t="n">
        <v>0</v>
      </c>
      <c r="F10" s="42" t="n">
        <v>0</v>
      </c>
      <c r="G10" s="43" t="n">
        <f aca="false">SUM(B10:F10)</f>
        <v>0</v>
      </c>
      <c r="H10" s="44" t="n">
        <v>0</v>
      </c>
      <c r="I10" s="44" t="n">
        <v>0</v>
      </c>
      <c r="J10" s="44" t="n">
        <v>0</v>
      </c>
      <c r="K10" s="44" t="n">
        <v>0</v>
      </c>
      <c r="L10" s="45" t="n">
        <f aca="false">IF(G10=0,0,H10/G10)</f>
        <v>0</v>
      </c>
      <c r="M10" s="46" t="n">
        <f aca="false">IF(H10=0,0,I10/H10)</f>
        <v>0</v>
      </c>
      <c r="N10" s="47" t="n">
        <f aca="false">IF(G10=0,0,G10/5)</f>
        <v>0</v>
      </c>
      <c r="O10" s="22"/>
    </row>
    <row r="11" customFormat="false" ht="15" hidden="false" customHeight="false" outlineLevel="0" collapsed="false">
      <c r="A11" s="17" t="s">
        <v>69</v>
      </c>
      <c r="B11" s="42" t="n">
        <v>0</v>
      </c>
      <c r="C11" s="42" t="n">
        <v>0</v>
      </c>
      <c r="D11" s="42" t="n">
        <v>0</v>
      </c>
      <c r="E11" s="42" t="n">
        <v>0</v>
      </c>
      <c r="F11" s="42" t="n">
        <v>0</v>
      </c>
      <c r="G11" s="48" t="n">
        <f aca="false">SUM(B11:F11)</f>
        <v>0</v>
      </c>
      <c r="H11" s="44" t="n">
        <v>0</v>
      </c>
      <c r="I11" s="44" t="n">
        <v>0</v>
      </c>
      <c r="J11" s="44" t="n">
        <v>0</v>
      </c>
      <c r="K11" s="44" t="n">
        <v>0</v>
      </c>
      <c r="L11" s="49" t="n">
        <f aca="false">IF(G11=0,0,H11/G11)</f>
        <v>0</v>
      </c>
      <c r="M11" s="50" t="n">
        <f aca="false">IF(H11=0,0,I11/H11)</f>
        <v>0</v>
      </c>
      <c r="N11" s="51" t="n">
        <f aca="false">IF(G11=0,0,G11/5)</f>
        <v>0</v>
      </c>
      <c r="O11" s="17"/>
    </row>
    <row r="12" customFormat="false" ht="15" hidden="false" customHeight="false" outlineLevel="0" collapsed="false">
      <c r="A12" s="22" t="s">
        <v>70</v>
      </c>
      <c r="B12" s="42" t="n">
        <v>0</v>
      </c>
      <c r="C12" s="42" t="n">
        <v>0</v>
      </c>
      <c r="D12" s="42" t="n">
        <v>0</v>
      </c>
      <c r="E12" s="42" t="n">
        <v>0</v>
      </c>
      <c r="F12" s="42" t="n">
        <v>0</v>
      </c>
      <c r="G12" s="43" t="n">
        <f aca="false">SUM(B12:F12)</f>
        <v>0</v>
      </c>
      <c r="H12" s="44" t="n">
        <v>0</v>
      </c>
      <c r="I12" s="44" t="n">
        <v>0</v>
      </c>
      <c r="J12" s="44" t="n">
        <v>0</v>
      </c>
      <c r="K12" s="44" t="n">
        <v>0</v>
      </c>
      <c r="L12" s="45" t="n">
        <f aca="false">IF(G12=0,0,H12/G12)</f>
        <v>0</v>
      </c>
      <c r="M12" s="46" t="n">
        <f aca="false">IF(H12=0,0,I12/H12)</f>
        <v>0</v>
      </c>
      <c r="N12" s="47" t="n">
        <f aca="false">IF(G12=0,0,G12/5)</f>
        <v>0</v>
      </c>
      <c r="O12" s="22"/>
    </row>
    <row r="13" customFormat="false" ht="15" hidden="false" customHeight="false" outlineLevel="0" collapsed="false">
      <c r="A13" s="17" t="s">
        <v>71</v>
      </c>
      <c r="B13" s="42" t="n">
        <v>0</v>
      </c>
      <c r="C13" s="42" t="n">
        <v>0</v>
      </c>
      <c r="D13" s="42" t="n">
        <v>0</v>
      </c>
      <c r="E13" s="42" t="n">
        <v>0</v>
      </c>
      <c r="F13" s="42" t="n">
        <v>0</v>
      </c>
      <c r="G13" s="48" t="n">
        <f aca="false">SUM(B13:F13)</f>
        <v>0</v>
      </c>
      <c r="H13" s="44" t="n">
        <v>0</v>
      </c>
      <c r="I13" s="44" t="n">
        <v>0</v>
      </c>
      <c r="J13" s="44" t="n">
        <v>0</v>
      </c>
      <c r="K13" s="44" t="n">
        <v>0</v>
      </c>
      <c r="L13" s="49" t="n">
        <f aca="false">IF(G13=0,0,H13/G13)</f>
        <v>0</v>
      </c>
      <c r="M13" s="50" t="n">
        <f aca="false">IF(H13=0,0,I13/H13)</f>
        <v>0</v>
      </c>
      <c r="N13" s="51" t="n">
        <f aca="false">IF(G13=0,0,G13/5)</f>
        <v>0</v>
      </c>
      <c r="O13" s="17"/>
    </row>
    <row r="14" customFormat="false" ht="15" hidden="false" customHeight="false" outlineLevel="0" collapsed="false">
      <c r="A14" s="22" t="s">
        <v>72</v>
      </c>
      <c r="B14" s="42" t="n">
        <v>0</v>
      </c>
      <c r="C14" s="42" t="n">
        <v>0</v>
      </c>
      <c r="D14" s="42" t="n">
        <v>0</v>
      </c>
      <c r="E14" s="42" t="n">
        <v>0</v>
      </c>
      <c r="F14" s="42" t="n">
        <v>0</v>
      </c>
      <c r="G14" s="43" t="n">
        <f aca="false">SUM(B14:F14)</f>
        <v>0</v>
      </c>
      <c r="H14" s="44" t="n">
        <v>0</v>
      </c>
      <c r="I14" s="44" t="n">
        <v>0</v>
      </c>
      <c r="J14" s="44" t="n">
        <v>0</v>
      </c>
      <c r="K14" s="44" t="n">
        <v>0</v>
      </c>
      <c r="L14" s="45" t="n">
        <f aca="false">IF(G14=0,0,H14/G14)</f>
        <v>0</v>
      </c>
      <c r="M14" s="46" t="n">
        <f aca="false">IF(H14=0,0,I14/H14)</f>
        <v>0</v>
      </c>
      <c r="N14" s="47" t="n">
        <f aca="false">IF(G14=0,0,G14/5)</f>
        <v>0</v>
      </c>
      <c r="O14" s="22"/>
    </row>
    <row r="15" customFormat="false" ht="15" hidden="false" customHeight="false" outlineLevel="0" collapsed="false">
      <c r="A15" s="17" t="s">
        <v>73</v>
      </c>
      <c r="B15" s="42" t="n">
        <v>0</v>
      </c>
      <c r="C15" s="42" t="n">
        <v>0</v>
      </c>
      <c r="D15" s="42" t="n">
        <v>0</v>
      </c>
      <c r="E15" s="42" t="n">
        <v>0</v>
      </c>
      <c r="F15" s="42" t="n">
        <v>0</v>
      </c>
      <c r="G15" s="48" t="n">
        <f aca="false">SUM(B15:F15)</f>
        <v>0</v>
      </c>
      <c r="H15" s="44" t="n">
        <v>0</v>
      </c>
      <c r="I15" s="44" t="n">
        <v>0</v>
      </c>
      <c r="J15" s="44" t="n">
        <v>0</v>
      </c>
      <c r="K15" s="44" t="n">
        <v>0</v>
      </c>
      <c r="L15" s="49" t="n">
        <f aca="false">IF(G15=0,0,H15/G15)</f>
        <v>0</v>
      </c>
      <c r="M15" s="50" t="n">
        <f aca="false">IF(H15=0,0,I15/H15)</f>
        <v>0</v>
      </c>
      <c r="N15" s="51" t="n">
        <f aca="false">IF(G15=0,0,G15/5)</f>
        <v>0</v>
      </c>
      <c r="O15" s="17"/>
    </row>
    <row r="16" customFormat="false" ht="15" hidden="false" customHeight="false" outlineLevel="0" collapsed="false">
      <c r="A16" s="22" t="s">
        <v>74</v>
      </c>
      <c r="B16" s="42" t="n">
        <v>0</v>
      </c>
      <c r="C16" s="42" t="n">
        <v>0</v>
      </c>
      <c r="D16" s="42" t="n">
        <v>0</v>
      </c>
      <c r="E16" s="42" t="n">
        <v>0</v>
      </c>
      <c r="F16" s="42" t="n">
        <v>0</v>
      </c>
      <c r="G16" s="43" t="n">
        <f aca="false">SUM(B16:F16)</f>
        <v>0</v>
      </c>
      <c r="H16" s="44" t="n">
        <v>0</v>
      </c>
      <c r="I16" s="44" t="n">
        <v>0</v>
      </c>
      <c r="J16" s="44" t="n">
        <v>0</v>
      </c>
      <c r="K16" s="44" t="n">
        <v>0</v>
      </c>
      <c r="L16" s="45" t="n">
        <f aca="false">IF(G16=0,0,H16/G16)</f>
        <v>0</v>
      </c>
      <c r="M16" s="46" t="n">
        <f aca="false">IF(H16=0,0,I16/H16)</f>
        <v>0</v>
      </c>
      <c r="N16" s="47" t="n">
        <f aca="false">IF(G16=0,0,G16/5)</f>
        <v>0</v>
      </c>
      <c r="O16" s="22"/>
    </row>
    <row r="17" customFormat="false" ht="15" hidden="false" customHeight="false" outlineLevel="0" collapsed="false">
      <c r="A17" s="17" t="s">
        <v>75</v>
      </c>
      <c r="B17" s="42" t="n">
        <v>0</v>
      </c>
      <c r="C17" s="42" t="n">
        <v>0</v>
      </c>
      <c r="D17" s="42" t="n">
        <v>0</v>
      </c>
      <c r="E17" s="42" t="n">
        <v>0</v>
      </c>
      <c r="F17" s="42" t="n">
        <v>0</v>
      </c>
      <c r="G17" s="48" t="n">
        <f aca="false">SUM(B17:F17)</f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9" t="n">
        <f aca="false">IF(G17=0,0,H17/G17)</f>
        <v>0</v>
      </c>
      <c r="M17" s="50" t="n">
        <f aca="false">IF(H17=0,0,I17/H17)</f>
        <v>0</v>
      </c>
      <c r="N17" s="51" t="n">
        <f aca="false">IF(G17=0,0,G17/5)</f>
        <v>0</v>
      </c>
      <c r="O17" s="17"/>
    </row>
    <row r="18" customFormat="false" ht="15" hidden="false" customHeight="false" outlineLevel="0" collapsed="false">
      <c r="A18" s="22" t="s">
        <v>76</v>
      </c>
      <c r="B18" s="42" t="n">
        <v>0</v>
      </c>
      <c r="C18" s="42" t="n">
        <v>0</v>
      </c>
      <c r="D18" s="42" t="n">
        <v>0</v>
      </c>
      <c r="E18" s="42" t="n">
        <v>0</v>
      </c>
      <c r="F18" s="42" t="n">
        <v>0</v>
      </c>
      <c r="G18" s="43" t="n">
        <f aca="false">SUM(B18:F18)</f>
        <v>0</v>
      </c>
      <c r="H18" s="44" t="n">
        <v>0</v>
      </c>
      <c r="I18" s="44" t="n">
        <v>0</v>
      </c>
      <c r="J18" s="44" t="n">
        <v>0</v>
      </c>
      <c r="K18" s="44" t="n">
        <v>0</v>
      </c>
      <c r="L18" s="45" t="n">
        <f aca="false">IF(G18=0,0,H18/G18)</f>
        <v>0</v>
      </c>
      <c r="M18" s="46" t="n">
        <f aca="false">IF(H18=0,0,I18/H18)</f>
        <v>0</v>
      </c>
      <c r="N18" s="47" t="n">
        <f aca="false">IF(G18=0,0,G18/5)</f>
        <v>0</v>
      </c>
      <c r="O18" s="22"/>
    </row>
    <row r="19" customFormat="false" ht="15" hidden="false" customHeight="false" outlineLevel="0" collapsed="false">
      <c r="A19" s="17" t="s">
        <v>77</v>
      </c>
      <c r="B19" s="42" t="n">
        <v>0</v>
      </c>
      <c r="C19" s="42" t="n">
        <v>0</v>
      </c>
      <c r="D19" s="42" t="n">
        <v>0</v>
      </c>
      <c r="E19" s="42" t="n">
        <v>0</v>
      </c>
      <c r="F19" s="42" t="n">
        <v>0</v>
      </c>
      <c r="G19" s="48" t="n">
        <f aca="false">SUM(B19:F19)</f>
        <v>0</v>
      </c>
      <c r="H19" s="44" t="n">
        <v>0</v>
      </c>
      <c r="I19" s="44" t="n">
        <v>0</v>
      </c>
      <c r="J19" s="44" t="n">
        <v>0</v>
      </c>
      <c r="K19" s="44" t="n">
        <v>0</v>
      </c>
      <c r="L19" s="49" t="n">
        <f aca="false">IF(G19=0,0,H19/G19)</f>
        <v>0</v>
      </c>
      <c r="M19" s="50" t="n">
        <f aca="false">IF(H19=0,0,I19/H19)</f>
        <v>0</v>
      </c>
      <c r="N19" s="51" t="n">
        <f aca="false">IF(G19=0,0,G19/5)</f>
        <v>0</v>
      </c>
      <c r="O19" s="17"/>
    </row>
    <row r="20" customFormat="false" ht="15" hidden="false" customHeight="false" outlineLevel="0" collapsed="false">
      <c r="A20" s="22" t="s">
        <v>78</v>
      </c>
      <c r="B20" s="42" t="n">
        <v>0</v>
      </c>
      <c r="C20" s="42" t="n">
        <v>0</v>
      </c>
      <c r="D20" s="42" t="n">
        <v>0</v>
      </c>
      <c r="E20" s="42" t="n">
        <v>0</v>
      </c>
      <c r="F20" s="42" t="n">
        <v>0</v>
      </c>
      <c r="G20" s="43" t="n">
        <f aca="false">SUM(B20:F20)</f>
        <v>0</v>
      </c>
      <c r="H20" s="44" t="n">
        <v>0</v>
      </c>
      <c r="I20" s="44" t="n">
        <v>0</v>
      </c>
      <c r="J20" s="44" t="n">
        <v>0</v>
      </c>
      <c r="K20" s="44" t="n">
        <v>0</v>
      </c>
      <c r="L20" s="45" t="n">
        <f aca="false">IF(G20=0,0,H20/G20)</f>
        <v>0</v>
      </c>
      <c r="M20" s="46" t="n">
        <f aca="false">IF(H20=0,0,I20/H20)</f>
        <v>0</v>
      </c>
      <c r="N20" s="47" t="n">
        <f aca="false">IF(G20=0,0,G20/5)</f>
        <v>0</v>
      </c>
      <c r="O20" s="22"/>
    </row>
    <row r="21" customFormat="false" ht="15" hidden="false" customHeight="false" outlineLevel="0" collapsed="false">
      <c r="A21" s="17" t="s">
        <v>79</v>
      </c>
      <c r="B21" s="42" t="n">
        <v>0</v>
      </c>
      <c r="C21" s="42" t="n">
        <v>0</v>
      </c>
      <c r="D21" s="42" t="n">
        <v>0</v>
      </c>
      <c r="E21" s="42" t="n">
        <v>0</v>
      </c>
      <c r="F21" s="42" t="n">
        <v>0</v>
      </c>
      <c r="G21" s="48" t="n">
        <f aca="false">SUM(B21:F21)</f>
        <v>0</v>
      </c>
      <c r="H21" s="44" t="n">
        <v>0</v>
      </c>
      <c r="I21" s="44" t="n">
        <v>0</v>
      </c>
      <c r="J21" s="44" t="n">
        <v>0</v>
      </c>
      <c r="K21" s="44" t="n">
        <v>0</v>
      </c>
      <c r="L21" s="49" t="n">
        <f aca="false">IF(G21=0,0,H21/G21)</f>
        <v>0</v>
      </c>
      <c r="M21" s="50" t="n">
        <f aca="false">IF(H21=0,0,I21/H21)</f>
        <v>0</v>
      </c>
      <c r="N21" s="51" t="n">
        <f aca="false">IF(G21=0,0,G21/5)</f>
        <v>0</v>
      </c>
      <c r="O21" s="17"/>
    </row>
    <row r="22" customFormat="false" ht="15" hidden="false" customHeight="false" outlineLevel="0" collapsed="false">
      <c r="A22" s="22" t="s">
        <v>80</v>
      </c>
      <c r="B22" s="42" t="n">
        <v>0</v>
      </c>
      <c r="C22" s="42" t="n">
        <v>0</v>
      </c>
      <c r="D22" s="42" t="n">
        <v>0</v>
      </c>
      <c r="E22" s="42" t="n">
        <v>0</v>
      </c>
      <c r="F22" s="42" t="n">
        <v>0</v>
      </c>
      <c r="G22" s="43" t="n">
        <f aca="false">SUM(B22:F22)</f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5" t="n">
        <f aca="false">IF(G22=0,0,H22/G22)</f>
        <v>0</v>
      </c>
      <c r="M22" s="46" t="n">
        <f aca="false">IF(H22=0,0,I22/H22)</f>
        <v>0</v>
      </c>
      <c r="N22" s="47" t="n">
        <f aca="false">IF(G22=0,0,G22/5)</f>
        <v>0</v>
      </c>
      <c r="O22" s="22"/>
    </row>
    <row r="23" customFormat="false" ht="15" hidden="false" customHeight="false" outlineLevel="0" collapsed="false">
      <c r="A23" s="17" t="s">
        <v>81</v>
      </c>
      <c r="B23" s="42" t="n">
        <v>0</v>
      </c>
      <c r="C23" s="42" t="n">
        <v>0</v>
      </c>
      <c r="D23" s="42" t="n">
        <v>0</v>
      </c>
      <c r="E23" s="42" t="n">
        <v>0</v>
      </c>
      <c r="F23" s="42" t="n">
        <v>0</v>
      </c>
      <c r="G23" s="48" t="n">
        <f aca="false">SUM(B23:F23)</f>
        <v>0</v>
      </c>
      <c r="H23" s="44" t="n">
        <v>0</v>
      </c>
      <c r="I23" s="44" t="n">
        <v>0</v>
      </c>
      <c r="J23" s="44" t="n">
        <v>0</v>
      </c>
      <c r="K23" s="44" t="n">
        <v>0</v>
      </c>
      <c r="L23" s="49" t="n">
        <f aca="false">IF(G23=0,0,H23/G23)</f>
        <v>0</v>
      </c>
      <c r="M23" s="50" t="n">
        <f aca="false">IF(H23=0,0,I23/H23)</f>
        <v>0</v>
      </c>
      <c r="N23" s="51" t="n">
        <f aca="false">IF(G23=0,0,G23/5)</f>
        <v>0</v>
      </c>
      <c r="O23" s="17"/>
    </row>
    <row r="24" customFormat="false" ht="15" hidden="false" customHeight="false" outlineLevel="0" collapsed="false">
      <c r="A24" s="22" t="s">
        <v>82</v>
      </c>
      <c r="B24" s="42" t="n">
        <v>0</v>
      </c>
      <c r="C24" s="42" t="n">
        <v>0</v>
      </c>
      <c r="D24" s="42" t="n">
        <v>0</v>
      </c>
      <c r="E24" s="42" t="n">
        <v>0</v>
      </c>
      <c r="F24" s="42" t="n">
        <v>0</v>
      </c>
      <c r="G24" s="43" t="n">
        <f aca="false">SUM(B24:F24)</f>
        <v>0</v>
      </c>
      <c r="H24" s="44" t="n">
        <v>0</v>
      </c>
      <c r="I24" s="44" t="n">
        <v>0</v>
      </c>
      <c r="J24" s="44" t="n">
        <v>0</v>
      </c>
      <c r="K24" s="44" t="n">
        <v>0</v>
      </c>
      <c r="L24" s="45" t="n">
        <f aca="false">IF(G24=0,0,H24/G24)</f>
        <v>0</v>
      </c>
      <c r="M24" s="46" t="n">
        <f aca="false">IF(H24=0,0,I24/H24)</f>
        <v>0</v>
      </c>
      <c r="N24" s="47" t="n">
        <f aca="false">IF(G24=0,0,G24/5)</f>
        <v>0</v>
      </c>
      <c r="O24" s="22"/>
    </row>
    <row r="25" customFormat="false" ht="15" hidden="false" customHeight="false" outlineLevel="0" collapsed="false">
      <c r="A25" s="17" t="s">
        <v>83</v>
      </c>
      <c r="B25" s="42" t="n">
        <v>0</v>
      </c>
      <c r="C25" s="42" t="n">
        <v>0</v>
      </c>
      <c r="D25" s="42" t="n">
        <v>0</v>
      </c>
      <c r="E25" s="42" t="n">
        <v>0</v>
      </c>
      <c r="F25" s="42" t="n">
        <v>0</v>
      </c>
      <c r="G25" s="48" t="n">
        <f aca="false">SUM(B25:F25)</f>
        <v>0</v>
      </c>
      <c r="H25" s="44" t="n">
        <v>0</v>
      </c>
      <c r="I25" s="44" t="n">
        <v>0</v>
      </c>
      <c r="J25" s="44" t="n">
        <v>0</v>
      </c>
      <c r="K25" s="44" t="n">
        <v>0</v>
      </c>
      <c r="L25" s="49" t="n">
        <f aca="false">IF(G25=0,0,H25/G25)</f>
        <v>0</v>
      </c>
      <c r="M25" s="50" t="n">
        <f aca="false">IF(H25=0,0,I25/H25)</f>
        <v>0</v>
      </c>
      <c r="N25" s="51" t="n">
        <f aca="false">IF(G25=0,0,G25/5)</f>
        <v>0</v>
      </c>
      <c r="O25" s="17"/>
    </row>
    <row r="26" customFormat="false" ht="15" hidden="false" customHeight="false" outlineLevel="0" collapsed="false">
      <c r="A26" s="22" t="s">
        <v>84</v>
      </c>
      <c r="B26" s="42" t="n">
        <v>0</v>
      </c>
      <c r="C26" s="42" t="n">
        <v>0</v>
      </c>
      <c r="D26" s="42" t="n">
        <v>0</v>
      </c>
      <c r="E26" s="42" t="n">
        <v>0</v>
      </c>
      <c r="F26" s="42" t="n">
        <v>0</v>
      </c>
      <c r="G26" s="43" t="n">
        <f aca="false">SUM(B26:F26)</f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5" t="n">
        <f aca="false">IF(G26=0,0,H26/G26)</f>
        <v>0</v>
      </c>
      <c r="M26" s="46" t="n">
        <f aca="false">IF(H26=0,0,I26/H26)</f>
        <v>0</v>
      </c>
      <c r="N26" s="47" t="n">
        <f aca="false">IF(G26=0,0,G26/5)</f>
        <v>0</v>
      </c>
      <c r="O26" s="22"/>
    </row>
    <row r="27" customFormat="false" ht="15" hidden="false" customHeight="false" outlineLevel="0" collapsed="false">
      <c r="A27" s="17" t="s">
        <v>85</v>
      </c>
      <c r="B27" s="42" t="n">
        <v>0</v>
      </c>
      <c r="C27" s="42" t="n">
        <v>0</v>
      </c>
      <c r="D27" s="42" t="n">
        <v>0</v>
      </c>
      <c r="E27" s="42" t="n">
        <v>0</v>
      </c>
      <c r="F27" s="42" t="n">
        <v>0</v>
      </c>
      <c r="G27" s="48" t="n">
        <f aca="false">SUM(B27:F27)</f>
        <v>0</v>
      </c>
      <c r="H27" s="44" t="n">
        <v>0</v>
      </c>
      <c r="I27" s="44" t="n">
        <v>0</v>
      </c>
      <c r="J27" s="44" t="n">
        <v>0</v>
      </c>
      <c r="K27" s="44" t="n">
        <v>0</v>
      </c>
      <c r="L27" s="49" t="n">
        <f aca="false">IF(G27=0,0,H27/G27)</f>
        <v>0</v>
      </c>
      <c r="M27" s="50" t="n">
        <f aca="false">IF(H27=0,0,I27/H27)</f>
        <v>0</v>
      </c>
      <c r="N27" s="51" t="n">
        <f aca="false">IF(G27=0,0,G27/5)</f>
        <v>0</v>
      </c>
      <c r="O27" s="17"/>
    </row>
    <row r="28" customFormat="false" ht="15" hidden="false" customHeight="false" outlineLevel="0" collapsed="false">
      <c r="A28" s="22" t="s">
        <v>86</v>
      </c>
      <c r="B28" s="42" t="n">
        <v>0</v>
      </c>
      <c r="C28" s="42" t="n">
        <v>0</v>
      </c>
      <c r="D28" s="42" t="n">
        <v>0</v>
      </c>
      <c r="E28" s="42" t="n">
        <v>0</v>
      </c>
      <c r="F28" s="42" t="n">
        <v>0</v>
      </c>
      <c r="G28" s="43" t="n">
        <f aca="false">SUM(B28:F28)</f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5" t="n">
        <f aca="false">IF(G28=0,0,H28/G28)</f>
        <v>0</v>
      </c>
      <c r="M28" s="46" t="n">
        <f aca="false">IF(H28=0,0,I28/H28)</f>
        <v>0</v>
      </c>
      <c r="N28" s="47" t="n">
        <f aca="false">IF(G28=0,0,G28/5)</f>
        <v>0</v>
      </c>
      <c r="O28" s="22"/>
    </row>
    <row r="29" customFormat="false" ht="15" hidden="false" customHeight="false" outlineLevel="0" collapsed="false">
      <c r="A29" s="17" t="s">
        <v>87</v>
      </c>
      <c r="B29" s="42" t="n">
        <v>0</v>
      </c>
      <c r="C29" s="42" t="n">
        <v>0</v>
      </c>
      <c r="D29" s="42" t="n">
        <v>0</v>
      </c>
      <c r="E29" s="42" t="n">
        <v>0</v>
      </c>
      <c r="F29" s="42" t="n">
        <v>0</v>
      </c>
      <c r="G29" s="48" t="n">
        <f aca="false">SUM(B29:F29)</f>
        <v>0</v>
      </c>
      <c r="H29" s="44" t="n">
        <v>0</v>
      </c>
      <c r="I29" s="44" t="n">
        <v>0</v>
      </c>
      <c r="J29" s="44" t="n">
        <v>0</v>
      </c>
      <c r="K29" s="44" t="n">
        <v>0</v>
      </c>
      <c r="L29" s="49" t="n">
        <f aca="false">IF(G29=0,0,H29/G29)</f>
        <v>0</v>
      </c>
      <c r="M29" s="50" t="n">
        <f aca="false">IF(H29=0,0,I29/H29)</f>
        <v>0</v>
      </c>
      <c r="N29" s="51" t="n">
        <f aca="false">IF(G29=0,0,G29/5)</f>
        <v>0</v>
      </c>
      <c r="O29" s="17"/>
    </row>
    <row r="30" customFormat="false" ht="15" hidden="false" customHeight="false" outlineLevel="0" collapsed="false">
      <c r="A30" s="22" t="s">
        <v>88</v>
      </c>
      <c r="B30" s="42" t="n">
        <v>0</v>
      </c>
      <c r="C30" s="42" t="n">
        <v>0</v>
      </c>
      <c r="D30" s="42" t="n">
        <v>0</v>
      </c>
      <c r="E30" s="42" t="n">
        <v>0</v>
      </c>
      <c r="F30" s="42" t="n">
        <v>0</v>
      </c>
      <c r="G30" s="43" t="n">
        <f aca="false">SUM(B30:F30)</f>
        <v>0</v>
      </c>
      <c r="H30" s="44" t="n">
        <v>0</v>
      </c>
      <c r="I30" s="44" t="n">
        <v>0</v>
      </c>
      <c r="J30" s="44" t="n">
        <v>0</v>
      </c>
      <c r="K30" s="44" t="n">
        <v>0</v>
      </c>
      <c r="L30" s="45" t="n">
        <f aca="false">IF(G30=0,0,H30/G30)</f>
        <v>0</v>
      </c>
      <c r="M30" s="46" t="n">
        <f aca="false">IF(H30=0,0,I30/H30)</f>
        <v>0</v>
      </c>
      <c r="N30" s="47" t="n">
        <f aca="false">IF(G30=0,0,G30/5)</f>
        <v>0</v>
      </c>
      <c r="O30" s="22"/>
    </row>
    <row r="31" customFormat="false" ht="15" hidden="false" customHeight="false" outlineLevel="0" collapsed="false">
      <c r="A31" s="17" t="s">
        <v>89</v>
      </c>
      <c r="B31" s="42" t="n">
        <v>0</v>
      </c>
      <c r="C31" s="42" t="n">
        <v>0</v>
      </c>
      <c r="D31" s="42" t="n">
        <v>0</v>
      </c>
      <c r="E31" s="42" t="n">
        <v>0</v>
      </c>
      <c r="F31" s="42" t="n">
        <v>0</v>
      </c>
      <c r="G31" s="48" t="n">
        <f aca="false">SUM(B31:F31)</f>
        <v>0</v>
      </c>
      <c r="H31" s="44" t="n">
        <v>0</v>
      </c>
      <c r="I31" s="44" t="n">
        <v>0</v>
      </c>
      <c r="J31" s="44" t="n">
        <v>0</v>
      </c>
      <c r="K31" s="44" t="n">
        <v>0</v>
      </c>
      <c r="L31" s="49" t="n">
        <f aca="false">IF(G31=0,0,H31/G31)</f>
        <v>0</v>
      </c>
      <c r="M31" s="50" t="n">
        <f aca="false">IF(H31=0,0,I31/H31)</f>
        <v>0</v>
      </c>
      <c r="N31" s="51" t="n">
        <f aca="false">IF(G31=0,0,G31/5)</f>
        <v>0</v>
      </c>
      <c r="O31" s="17"/>
    </row>
    <row r="32" customFormat="false" ht="15" hidden="false" customHeight="false" outlineLevel="0" collapsed="false">
      <c r="A32" s="52" t="s">
        <v>90</v>
      </c>
      <c r="B32" s="52"/>
      <c r="C32" s="52"/>
      <c r="D32" s="52"/>
      <c r="E32" s="52"/>
      <c r="F32" s="52"/>
      <c r="G32" s="52" t="n">
        <f aca="false">SUM(G6:G31)</f>
        <v>0</v>
      </c>
      <c r="H32" s="52" t="n">
        <f aca="false">SUM(H6:H31)</f>
        <v>0</v>
      </c>
      <c r="I32" s="52" t="n">
        <f aca="false">SUM(I6:I31)</f>
        <v>0</v>
      </c>
      <c r="J32" s="52" t="n">
        <f aca="false">SUM(J6:J31)</f>
        <v>0</v>
      </c>
      <c r="K32" s="52" t="n">
        <f aca="false">SUM(K6:K31)</f>
        <v>0</v>
      </c>
      <c r="L32" s="53" t="n">
        <f aca="false">IF(G32=0,0,H32/G32)</f>
        <v>0</v>
      </c>
      <c r="M32" s="54" t="n">
        <f aca="false">IF(H32=0,0,I32/H32)</f>
        <v>0</v>
      </c>
      <c r="N32" s="55" t="n">
        <f aca="false">IF(G32=0,0,G32/(5*26))</f>
        <v>0</v>
      </c>
      <c r="O32" s="52"/>
    </row>
    <row r="34" customFormat="false" ht="15.75" hidden="false" customHeight="true" outlineLevel="0" collapsed="false">
      <c r="A34" s="56" t="s">
        <v>91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</row>
  </sheetData>
  <mergeCells count="3">
    <mergeCell ref="A1:O2"/>
    <mergeCell ref="A3:O3"/>
    <mergeCell ref="A34:O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7" min="7" style="0" width="38"/>
  </cols>
  <sheetData>
    <row r="1" customFormat="false" ht="19.5" hidden="false" customHeight="true" outlineLevel="0" collapsed="false">
      <c r="A1" s="37" t="s">
        <v>92</v>
      </c>
      <c r="B1" s="37"/>
      <c r="C1" s="37"/>
      <c r="D1" s="37"/>
      <c r="E1" s="37"/>
      <c r="F1" s="37"/>
      <c r="G1" s="37"/>
      <c r="H1" s="37"/>
    </row>
    <row r="2" customFormat="false" ht="15" hidden="false" customHeight="false" outlineLevel="0" collapsed="false">
      <c r="A2" s="37"/>
      <c r="B2" s="37"/>
      <c r="C2" s="37"/>
      <c r="D2" s="37"/>
      <c r="E2" s="37"/>
      <c r="F2" s="37"/>
      <c r="G2" s="37"/>
      <c r="H2" s="37"/>
    </row>
    <row r="3" customFormat="false" ht="15.75" hidden="false" customHeight="true" outlineLevel="0" collapsed="false">
      <c r="A3" s="57" t="s">
        <v>93</v>
      </c>
      <c r="B3" s="57"/>
      <c r="C3" s="57"/>
      <c r="D3" s="57"/>
      <c r="E3" s="57"/>
      <c r="F3" s="57"/>
      <c r="G3" s="57"/>
      <c r="H3" s="57"/>
    </row>
    <row r="4" customFormat="false" ht="7.5" hidden="false" customHeight="true" outlineLevel="0" collapsed="false"/>
    <row r="5" customFormat="false" ht="15" hidden="false" customHeight="false" outlineLevel="0" collapsed="false">
      <c r="A5" s="16" t="s">
        <v>94</v>
      </c>
      <c r="B5" s="16" t="s">
        <v>95</v>
      </c>
      <c r="C5" s="16" t="s">
        <v>96</v>
      </c>
      <c r="D5" s="16" t="s">
        <v>97</v>
      </c>
      <c r="E5" s="16" t="s">
        <v>98</v>
      </c>
      <c r="F5" s="16" t="s">
        <v>99</v>
      </c>
      <c r="G5" s="16" t="s">
        <v>100</v>
      </c>
    </row>
    <row r="6" customFormat="false" ht="36" hidden="false" customHeight="true" outlineLevel="0" collapsed="false">
      <c r="A6" s="58" t="s">
        <v>101</v>
      </c>
      <c r="B6" s="58" t="s">
        <v>102</v>
      </c>
      <c r="C6" s="59" t="s">
        <v>103</v>
      </c>
      <c r="D6" s="59" t="s">
        <v>104</v>
      </c>
      <c r="E6" s="59" t="s">
        <v>105</v>
      </c>
      <c r="F6" s="60" t="s">
        <v>106</v>
      </c>
      <c r="G6" s="58" t="s">
        <v>107</v>
      </c>
    </row>
    <row r="7" customFormat="false" ht="36" hidden="false" customHeight="true" outlineLevel="0" collapsed="false">
      <c r="A7" s="61" t="s">
        <v>21</v>
      </c>
      <c r="B7" s="61" t="s">
        <v>108</v>
      </c>
      <c r="C7" s="62" t="s">
        <v>109</v>
      </c>
      <c r="D7" s="62" t="s">
        <v>110</v>
      </c>
      <c r="E7" s="62" t="s">
        <v>111</v>
      </c>
      <c r="F7" s="63" t="s">
        <v>112</v>
      </c>
      <c r="G7" s="61" t="s">
        <v>113</v>
      </c>
    </row>
    <row r="8" customFormat="false" ht="36" hidden="false" customHeight="true" outlineLevel="0" collapsed="false">
      <c r="A8" s="58" t="s">
        <v>114</v>
      </c>
      <c r="B8" s="58" t="s">
        <v>115</v>
      </c>
      <c r="C8" s="59" t="s">
        <v>116</v>
      </c>
      <c r="D8" s="59" t="s">
        <v>117</v>
      </c>
      <c r="E8" s="59" t="s">
        <v>118</v>
      </c>
      <c r="F8" s="60" t="s">
        <v>119</v>
      </c>
      <c r="G8" s="58" t="s">
        <v>120</v>
      </c>
    </row>
    <row r="9" customFormat="false" ht="36" hidden="false" customHeight="true" outlineLevel="0" collapsed="false">
      <c r="A9" s="61" t="s">
        <v>121</v>
      </c>
      <c r="B9" s="61" t="s">
        <v>122</v>
      </c>
      <c r="C9" s="62" t="s">
        <v>123</v>
      </c>
      <c r="D9" s="62" t="s">
        <v>124</v>
      </c>
      <c r="E9" s="62" t="s">
        <v>125</v>
      </c>
      <c r="F9" s="64" t="s">
        <v>126</v>
      </c>
      <c r="G9" s="61" t="s">
        <v>127</v>
      </c>
    </row>
    <row r="10" customFormat="false" ht="36" hidden="false" customHeight="true" outlineLevel="0" collapsed="false">
      <c r="A10" s="58" t="s">
        <v>128</v>
      </c>
      <c r="B10" s="58" t="s">
        <v>129</v>
      </c>
      <c r="C10" s="59" t="s">
        <v>130</v>
      </c>
      <c r="D10" s="59" t="s">
        <v>131</v>
      </c>
      <c r="E10" s="59" t="s">
        <v>125</v>
      </c>
      <c r="F10" s="63" t="s">
        <v>132</v>
      </c>
      <c r="G10" s="58" t="s">
        <v>133</v>
      </c>
    </row>
    <row r="11" customFormat="false" ht="36" hidden="false" customHeight="true" outlineLevel="0" collapsed="false">
      <c r="A11" s="61" t="s">
        <v>134</v>
      </c>
      <c r="B11" s="61" t="s">
        <v>135</v>
      </c>
      <c r="C11" s="62" t="s">
        <v>136</v>
      </c>
      <c r="D11" s="62" t="s">
        <v>136</v>
      </c>
      <c r="E11" s="62" t="s">
        <v>137</v>
      </c>
      <c r="F11" s="60" t="s">
        <v>138</v>
      </c>
      <c r="G11" s="61" t="s">
        <v>139</v>
      </c>
    </row>
    <row r="12" customFormat="false" ht="36" hidden="false" customHeight="true" outlineLevel="0" collapsed="false">
      <c r="A12" s="58" t="s">
        <v>140</v>
      </c>
      <c r="B12" s="58" t="s">
        <v>141</v>
      </c>
      <c r="C12" s="59" t="s">
        <v>142</v>
      </c>
      <c r="D12" s="59" t="s">
        <v>143</v>
      </c>
      <c r="E12" s="59" t="s">
        <v>144</v>
      </c>
      <c r="F12" s="63" t="s">
        <v>145</v>
      </c>
      <c r="G12" s="58" t="s">
        <v>146</v>
      </c>
    </row>
    <row r="13" customFormat="false" ht="36" hidden="false" customHeight="true" outlineLevel="0" collapsed="false">
      <c r="A13" s="61" t="s">
        <v>147</v>
      </c>
      <c r="B13" s="61" t="s">
        <v>148</v>
      </c>
      <c r="C13" s="62" t="s">
        <v>149</v>
      </c>
      <c r="D13" s="62" t="s">
        <v>150</v>
      </c>
      <c r="E13" s="62" t="s">
        <v>150</v>
      </c>
      <c r="F13" s="64" t="s">
        <v>151</v>
      </c>
      <c r="G13" s="61" t="s">
        <v>152</v>
      </c>
    </row>
    <row r="14" customFormat="false" ht="36" hidden="false" customHeight="true" outlineLevel="0" collapsed="false">
      <c r="A14" s="58" t="s">
        <v>153</v>
      </c>
      <c r="B14" s="58" t="s">
        <v>154</v>
      </c>
      <c r="C14" s="59" t="s">
        <v>155</v>
      </c>
      <c r="D14" s="59" t="s">
        <v>156</v>
      </c>
      <c r="E14" s="59" t="s">
        <v>157</v>
      </c>
      <c r="F14" s="63" t="s">
        <v>158</v>
      </c>
      <c r="G14" s="58" t="s">
        <v>159</v>
      </c>
    </row>
    <row r="15" customFormat="false" ht="36" hidden="false" customHeight="true" outlineLevel="0" collapsed="false">
      <c r="A15" s="61" t="s">
        <v>160</v>
      </c>
      <c r="B15" s="61" t="s">
        <v>161</v>
      </c>
      <c r="C15" s="62" t="s">
        <v>162</v>
      </c>
      <c r="D15" s="62" t="s">
        <v>163</v>
      </c>
      <c r="E15" s="62" t="s">
        <v>164</v>
      </c>
      <c r="F15" s="60" t="s">
        <v>119</v>
      </c>
      <c r="G15" s="61" t="s">
        <v>165</v>
      </c>
    </row>
    <row r="16" customFormat="false" ht="36" hidden="false" customHeight="true" outlineLevel="0" collapsed="false">
      <c r="A16" s="58" t="s">
        <v>166</v>
      </c>
      <c r="B16" s="58" t="s">
        <v>167</v>
      </c>
      <c r="C16" s="59" t="s">
        <v>168</v>
      </c>
      <c r="D16" s="59" t="s">
        <v>168</v>
      </c>
      <c r="E16" s="59" t="s">
        <v>168</v>
      </c>
      <c r="F16" s="65" t="s">
        <v>169</v>
      </c>
      <c r="G16" s="58" t="s">
        <v>170</v>
      </c>
    </row>
    <row r="18" customFormat="false" ht="19.5" hidden="false" customHeight="true" outlineLevel="0" collapsed="false">
      <c r="A18" s="66" t="s">
        <v>171</v>
      </c>
      <c r="B18" s="66"/>
      <c r="C18" s="66"/>
      <c r="D18" s="66"/>
      <c r="E18" s="66"/>
      <c r="F18" s="66"/>
      <c r="G18" s="66"/>
      <c r="H18" s="66"/>
    </row>
    <row r="19" customFormat="false" ht="19.5" hidden="false" customHeight="true" outlineLevel="0" collapsed="false">
      <c r="A19" s="66"/>
      <c r="B19" s="66"/>
      <c r="C19" s="66"/>
      <c r="D19" s="66"/>
      <c r="E19" s="66"/>
      <c r="F19" s="66"/>
      <c r="G19" s="66"/>
      <c r="H19" s="66"/>
    </row>
  </sheetData>
  <mergeCells count="3">
    <mergeCell ref="A1:H2"/>
    <mergeCell ref="A3:H3"/>
    <mergeCell ref="A18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42"/>
    <col collapsed="false" customWidth="true" hidden="false" outlineLevel="0" max="9" min="9" style="0" width="5"/>
  </cols>
  <sheetData>
    <row r="1" customFormat="false" ht="19.5" hidden="false" customHeight="true" outlineLevel="0" collapsed="false">
      <c r="A1" s="67" t="s">
        <v>172</v>
      </c>
      <c r="B1" s="67"/>
      <c r="C1" s="67"/>
      <c r="D1" s="67"/>
      <c r="E1" s="67"/>
      <c r="F1" s="67"/>
      <c r="G1" s="67"/>
      <c r="H1" s="67"/>
      <c r="I1" s="67"/>
    </row>
    <row r="2" customFormat="false" ht="15" hidden="false" customHeight="false" outlineLevel="0" collapsed="false">
      <c r="A2" s="67"/>
      <c r="B2" s="67"/>
      <c r="C2" s="67"/>
      <c r="D2" s="67"/>
      <c r="E2" s="67"/>
      <c r="F2" s="67"/>
      <c r="G2" s="67"/>
      <c r="H2" s="67"/>
      <c r="I2" s="67"/>
    </row>
    <row r="3" customFormat="false" ht="18" hidden="false" customHeight="true" outlineLevel="0" collapsed="false">
      <c r="A3" s="68" t="s">
        <v>173</v>
      </c>
      <c r="B3" s="68"/>
      <c r="C3" s="68"/>
      <c r="D3" s="68"/>
      <c r="E3" s="68"/>
      <c r="F3" s="68"/>
      <c r="G3" s="68"/>
      <c r="H3" s="68"/>
      <c r="I3" s="68"/>
    </row>
    <row r="4" customFormat="false" ht="9.75" hidden="false" customHeight="true" outlineLevel="0" collapsed="false"/>
    <row r="5" customFormat="false" ht="15" hidden="false" customHeight="false" outlineLevel="0" collapsed="false">
      <c r="A5" s="16" t="s">
        <v>15</v>
      </c>
      <c r="B5" s="16" t="s">
        <v>17</v>
      </c>
      <c r="C5" s="16" t="s">
        <v>18</v>
      </c>
      <c r="D5" s="16" t="s">
        <v>22</v>
      </c>
      <c r="E5" s="16" t="s">
        <v>174</v>
      </c>
      <c r="F5" s="16" t="s">
        <v>175</v>
      </c>
      <c r="G5" s="16" t="s">
        <v>21</v>
      </c>
      <c r="H5" s="16" t="s">
        <v>176</v>
      </c>
    </row>
    <row r="6" customFormat="false" ht="24" hidden="false" customHeight="true" outlineLevel="0" collapsed="false">
      <c r="A6" s="22" t="s">
        <v>27</v>
      </c>
      <c r="B6" s="22" t="n">
        <v>38</v>
      </c>
      <c r="C6" s="22" t="n">
        <v>7</v>
      </c>
      <c r="D6" s="69" t="n">
        <v>0.18421052631579</v>
      </c>
      <c r="E6" s="22" t="s">
        <v>150</v>
      </c>
      <c r="F6" s="22" t="n">
        <v>853</v>
      </c>
      <c r="G6" s="23" t="n">
        <v>0.0445486518171161</v>
      </c>
      <c r="H6" s="22" t="s">
        <v>177</v>
      </c>
    </row>
    <row r="7" customFormat="false" ht="24" hidden="false" customHeight="true" outlineLevel="0" collapsed="false">
      <c r="A7" s="17" t="s">
        <v>30</v>
      </c>
      <c r="B7" s="17" t="n">
        <v>67</v>
      </c>
      <c r="C7" s="17" t="n">
        <v>12</v>
      </c>
      <c r="D7" s="69" t="n">
        <v>0.17910447761194</v>
      </c>
      <c r="E7" s="70" t="n">
        <v>-0.00510604870384918</v>
      </c>
      <c r="F7" s="17" t="n">
        <v>1727</v>
      </c>
      <c r="G7" s="18" t="n">
        <v>0.0387955993051534</v>
      </c>
      <c r="H7" s="17" t="s">
        <v>178</v>
      </c>
    </row>
    <row r="8" customFormat="false" ht="24" hidden="false" customHeight="true" outlineLevel="0" collapsed="false">
      <c r="A8" s="22" t="s">
        <v>32</v>
      </c>
      <c r="B8" s="22" t="n">
        <v>81</v>
      </c>
      <c r="C8" s="22" t="n">
        <v>9</v>
      </c>
      <c r="D8" s="27" t="n">
        <v>0.111111111111111</v>
      </c>
      <c r="E8" s="71" t="n">
        <v>-0.0679933665008292</v>
      </c>
      <c r="F8" s="22" t="n">
        <v>2174</v>
      </c>
      <c r="G8" s="23" t="n">
        <v>0.0372585096596136</v>
      </c>
      <c r="H8" s="22" t="s">
        <v>179</v>
      </c>
    </row>
    <row r="9" customFormat="false" ht="24" hidden="false" customHeight="true" outlineLevel="0" collapsed="false">
      <c r="A9" s="17" t="s">
        <v>35</v>
      </c>
      <c r="B9" s="17" t="n">
        <v>67</v>
      </c>
      <c r="C9" s="17" t="n">
        <v>8</v>
      </c>
      <c r="D9" s="25" t="n">
        <v>0.119402985074627</v>
      </c>
      <c r="E9" s="70" t="n">
        <v>0.00829187396351576</v>
      </c>
      <c r="F9" s="17" t="n">
        <v>2224</v>
      </c>
      <c r="G9" s="18" t="n">
        <v>0.0301258992805755</v>
      </c>
      <c r="H9" s="17" t="s">
        <v>180</v>
      </c>
    </row>
    <row r="10" customFormat="false" ht="24" hidden="false" customHeight="true" outlineLevel="0" collapsed="false">
      <c r="A10" s="22" t="s">
        <v>36</v>
      </c>
      <c r="B10" s="22" t="n">
        <v>61</v>
      </c>
      <c r="C10" s="22" t="n">
        <v>0</v>
      </c>
      <c r="D10" s="72" t="n">
        <v>0</v>
      </c>
      <c r="E10" s="71" t="n">
        <v>-0.119402985074627</v>
      </c>
      <c r="F10" s="22" t="n">
        <v>1689</v>
      </c>
      <c r="G10" s="23" t="n">
        <v>0.0361160449970397</v>
      </c>
      <c r="H10" s="22" t="s">
        <v>181</v>
      </c>
    </row>
    <row r="13" customFormat="false" ht="19.5" hidden="false" customHeight="true" outlineLevel="0" collapsed="false">
      <c r="A13" s="15" t="s">
        <v>182</v>
      </c>
      <c r="B13" s="15"/>
      <c r="C13" s="15"/>
      <c r="D13" s="15"/>
      <c r="E13" s="15"/>
      <c r="F13" s="15"/>
      <c r="G13" s="15"/>
      <c r="H13" s="15"/>
      <c r="I13" s="15"/>
    </row>
    <row r="14" customFormat="false" ht="15" hidden="false" customHeight="false" outlineLevel="0" collapsed="false">
      <c r="A14" s="16" t="s">
        <v>183</v>
      </c>
      <c r="B14" s="16" t="s">
        <v>184</v>
      </c>
      <c r="C14" s="16" t="s">
        <v>185</v>
      </c>
    </row>
    <row r="15" customFormat="false" ht="30" hidden="false" customHeight="true" outlineLevel="0" collapsed="false">
      <c r="A15" s="61" t="s">
        <v>186</v>
      </c>
      <c r="B15" s="73" t="s">
        <v>187</v>
      </c>
      <c r="C15" s="61" t="s">
        <v>188</v>
      </c>
    </row>
    <row r="16" customFormat="false" ht="30" hidden="false" customHeight="true" outlineLevel="0" collapsed="false">
      <c r="A16" s="58" t="s">
        <v>189</v>
      </c>
      <c r="B16" s="73" t="s">
        <v>187</v>
      </c>
      <c r="C16" s="58" t="s">
        <v>190</v>
      </c>
    </row>
    <row r="17" customFormat="false" ht="30" hidden="false" customHeight="true" outlineLevel="0" collapsed="false">
      <c r="A17" s="61" t="s">
        <v>191</v>
      </c>
      <c r="B17" s="73" t="s">
        <v>187</v>
      </c>
      <c r="C17" s="61" t="s">
        <v>192</v>
      </c>
    </row>
    <row r="18" customFormat="false" ht="30" hidden="false" customHeight="true" outlineLevel="0" collapsed="false">
      <c r="A18" s="58" t="s">
        <v>193</v>
      </c>
      <c r="B18" s="22" t="s">
        <v>194</v>
      </c>
      <c r="C18" s="58" t="s">
        <v>195</v>
      </c>
    </row>
    <row r="19" customFormat="false" ht="30" hidden="false" customHeight="true" outlineLevel="0" collapsed="false">
      <c r="A19" s="61" t="s">
        <v>196</v>
      </c>
      <c r="B19" s="17" t="s">
        <v>194</v>
      </c>
      <c r="C19" s="61" t="s">
        <v>197</v>
      </c>
    </row>
    <row r="20" customFormat="false" ht="30" hidden="false" customHeight="true" outlineLevel="0" collapsed="false">
      <c r="A20" s="58" t="s">
        <v>198</v>
      </c>
      <c r="B20" s="22" t="s">
        <v>194</v>
      </c>
      <c r="C20" s="58" t="s">
        <v>199</v>
      </c>
    </row>
    <row r="21" customFormat="false" ht="30" hidden="false" customHeight="true" outlineLevel="0" collapsed="false">
      <c r="A21" s="61" t="s">
        <v>200</v>
      </c>
      <c r="B21" s="17" t="s">
        <v>194</v>
      </c>
      <c r="C21" s="61" t="s">
        <v>201</v>
      </c>
    </row>
  </sheetData>
  <mergeCells count="3">
    <mergeCell ref="A1:I2"/>
    <mergeCell ref="A3:I3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2026-03-06T20:01:11Z</dcterms:created>
  <dc:creator>openpyxl</dc:creator>
  <dc:description/>
  <dc:language>en-US</dc:language>
  <cp:lastModifiedBy/>
  <dcterms:modified xsi:type="dcterms:W3CDTF">2026-03-06T15:01:18Z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